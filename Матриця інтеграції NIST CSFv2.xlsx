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13_ncr:1_{2F541B2B-46E5-47B8-9927-B8551642475E}" xr6:coauthVersionLast="47" xr6:coauthVersionMax="47" xr10:uidLastSave="{00000000-0000-0000-0000-000000000000}"/>
  <bookViews>
    <workbookView xWindow="-108" yWindow="-108" windowWidth="23256" windowHeight="12576" xr2:uid="{46A9AAD0-2678-412F-B357-8B6BED3B713B}"/>
  </bookViews>
  <sheets>
    <sheet name="NIST CSF 2.0" sheetId="1" r:id="rId1"/>
    <sheet name="NIST CSF 2.0-&gt;NIST SP 800-53" sheetId="4"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4" l="1"/>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G7" i="4"/>
  <c r="G8" i="4"/>
  <c r="G9" i="4"/>
  <c r="G10" i="4"/>
  <c r="G11" i="4"/>
  <c r="G12" i="4"/>
  <c r="G14" i="4"/>
  <c r="G15" i="4"/>
  <c r="G16" i="4"/>
  <c r="G17" i="4"/>
  <c r="G18" i="4"/>
  <c r="G19" i="4"/>
  <c r="G20" i="4"/>
  <c r="G21" i="4"/>
  <c r="G22" i="4"/>
  <c r="G23" i="4"/>
  <c r="G24" i="4"/>
  <c r="G25" i="4"/>
  <c r="G26" i="4"/>
  <c r="G27" i="4"/>
  <c r="G28" i="4"/>
  <c r="G29" i="4"/>
  <c r="G30" i="4"/>
  <c r="G31" i="4"/>
  <c r="G32" i="4"/>
  <c r="G33" i="4"/>
  <c r="G34" i="4"/>
  <c r="G36" i="4"/>
  <c r="G37" i="4"/>
  <c r="G38" i="4"/>
  <c r="G39" i="4"/>
  <c r="G41" i="4"/>
  <c r="G42" i="4"/>
  <c r="G43" i="4"/>
  <c r="G44" i="4"/>
  <c r="G47" i="4"/>
  <c r="G48" i="4"/>
  <c r="G51" i="4"/>
  <c r="G52" i="4"/>
  <c r="G53" i="4"/>
  <c r="G54" i="4"/>
  <c r="G56" i="4"/>
  <c r="G57" i="4"/>
  <c r="G58" i="4"/>
  <c r="G60" i="4"/>
  <c r="G62" i="4"/>
  <c r="G63" i="4"/>
  <c r="G64" i="4"/>
  <c r="G65" i="4"/>
  <c r="G67" i="4"/>
  <c r="G68" i="4"/>
  <c r="G69" i="4"/>
  <c r="G70" i="4"/>
  <c r="G73" i="4"/>
  <c r="G74" i="4"/>
  <c r="G75" i="4"/>
  <c r="G76" i="4"/>
  <c r="G78" i="4"/>
  <c r="G79" i="4"/>
  <c r="G80" i="4"/>
  <c r="G81" i="4"/>
  <c r="G82" i="4"/>
  <c r="G85" i="4"/>
  <c r="G86" i="4"/>
  <c r="G87" i="4"/>
  <c r="G90" i="4"/>
  <c r="G91" i="4"/>
  <c r="G92" i="4"/>
  <c r="G93" i="4"/>
  <c r="G94" i="4"/>
  <c r="G95" i="4"/>
  <c r="G96" i="4"/>
  <c r="G97" i="4"/>
  <c r="G98" i="4"/>
  <c r="G99" i="4"/>
  <c r="G100" i="4"/>
  <c r="G101" i="4"/>
  <c r="G102" i="4"/>
  <c r="G103" i="4"/>
  <c r="G104" i="4"/>
  <c r="G105" i="4"/>
  <c r="G106" i="4"/>
  <c r="G107" i="4"/>
  <c r="G108" i="4"/>
  <c r="G110" i="4"/>
  <c r="G111" i="4"/>
  <c r="G112" i="4"/>
  <c r="G113" i="4"/>
  <c r="G114" i="4"/>
  <c r="G115" i="4"/>
  <c r="G116" i="4"/>
  <c r="G117" i="4"/>
  <c r="G118" i="4"/>
  <c r="G119" i="4"/>
  <c r="G120" i="4"/>
  <c r="G121" i="4"/>
  <c r="G122" i="4"/>
  <c r="G123" i="4"/>
  <c r="G124" i="4"/>
  <c r="G125" i="4"/>
  <c r="G126" i="4"/>
  <c r="G127" i="4"/>
  <c r="G128"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7" i="4"/>
  <c r="G158" i="4"/>
  <c r="G159" i="4"/>
  <c r="G160" i="4"/>
  <c r="G161" i="4"/>
  <c r="G163" i="4"/>
  <c r="G164" i="4"/>
  <c r="G165" i="4"/>
  <c r="G168" i="4"/>
  <c r="G169" i="4"/>
  <c r="G171" i="4"/>
  <c r="G172"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2" i="4"/>
  <c r="G203" i="4"/>
  <c r="G205" i="4"/>
  <c r="G206" i="4"/>
  <c r="G207" i="4"/>
  <c r="G208" i="4"/>
  <c r="G209" i="4"/>
  <c r="G211" i="4"/>
  <c r="G212" i="4"/>
  <c r="G213" i="4"/>
  <c r="G215" i="4"/>
  <c r="G216" i="4"/>
  <c r="G217" i="4"/>
  <c r="G218" i="4"/>
  <c r="G220" i="4"/>
  <c r="G221" i="4"/>
  <c r="G222" i="4"/>
  <c r="G223" i="4"/>
  <c r="G224" i="4"/>
  <c r="G225" i="4"/>
  <c r="G227" i="4"/>
  <c r="G228" i="4"/>
  <c r="G229" i="4"/>
  <c r="G230" i="4"/>
  <c r="G231" i="4"/>
  <c r="G232" i="4"/>
  <c r="G233" i="4"/>
  <c r="G234" i="4"/>
  <c r="G235" i="4"/>
  <c r="G236" i="4"/>
  <c r="G237" i="4"/>
  <c r="G238" i="4"/>
  <c r="G240" i="4"/>
  <c r="G241" i="4"/>
  <c r="G242" i="4"/>
  <c r="G243" i="4"/>
  <c r="G244" i="4"/>
  <c r="G245" i="4"/>
  <c r="G246" i="4"/>
  <c r="G247" i="4"/>
  <c r="G248" i="4"/>
  <c r="G252" i="4"/>
  <c r="G254" i="4"/>
  <c r="G255" i="4"/>
  <c r="G256" i="4"/>
  <c r="G257" i="4"/>
  <c r="G259" i="4"/>
  <c r="G260" i="4"/>
  <c r="G261" i="4"/>
  <c r="G262" i="4"/>
  <c r="G263" i="4"/>
  <c r="G265" i="4"/>
  <c r="G266" i="4"/>
  <c r="G268" i="4"/>
  <c r="G269" i="4"/>
  <c r="G271" i="4"/>
  <c r="G272" i="4"/>
  <c r="G274" i="4"/>
  <c r="G275" i="4"/>
  <c r="G276" i="4"/>
  <c r="G277" i="4"/>
  <c r="G278" i="4"/>
  <c r="G279" i="4"/>
  <c r="G280" i="4"/>
  <c r="G281" i="4"/>
  <c r="G282" i="4"/>
  <c r="G283" i="4"/>
  <c r="G284" i="4"/>
  <c r="G285" i="4"/>
  <c r="G286" i="4"/>
  <c r="G287" i="4"/>
  <c r="G290" i="4"/>
  <c r="G291" i="4"/>
  <c r="G292" i="4"/>
  <c r="G293" i="4"/>
  <c r="G294" i="4"/>
  <c r="G295" i="4"/>
  <c r="G296" i="4"/>
  <c r="G297" i="4"/>
  <c r="G298" i="4"/>
  <c r="G300" i="4"/>
  <c r="G301" i="4"/>
  <c r="G303" i="4"/>
  <c r="G304" i="4"/>
  <c r="G305" i="4"/>
  <c r="G307" i="4"/>
  <c r="G308" i="4"/>
  <c r="G309" i="4"/>
  <c r="G310" i="4"/>
  <c r="G311" i="4"/>
  <c r="G313" i="4"/>
  <c r="G314" i="4"/>
  <c r="G315" i="4"/>
  <c r="G317" i="4"/>
  <c r="G318" i="4"/>
  <c r="G319" i="4"/>
  <c r="G321" i="4"/>
  <c r="G322" i="4"/>
  <c r="G325" i="4"/>
  <c r="G326" i="4"/>
  <c r="G327" i="4"/>
  <c r="G328" i="4"/>
  <c r="G329" i="4"/>
  <c r="G330" i="4"/>
  <c r="G331" i="4"/>
  <c r="G332" i="4"/>
  <c r="G333" i="4"/>
  <c r="G334"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4" i="4"/>
  <c r="G455" i="4"/>
  <c r="G456" i="4"/>
  <c r="G460" i="4"/>
  <c r="G461" i="4"/>
  <c r="G462" i="4"/>
  <c r="G463" i="4"/>
  <c r="G464" i="4"/>
  <c r="G465" i="4"/>
  <c r="G466" i="4"/>
  <c r="G467" i="4"/>
  <c r="G468" i="4"/>
  <c r="G469" i="4"/>
  <c r="G470" i="4"/>
  <c r="G471" i="4"/>
  <c r="G472" i="4"/>
  <c r="G475" i="4"/>
  <c r="G476" i="4"/>
  <c r="G477" i="4"/>
  <c r="G478" i="4"/>
  <c r="G479" i="4"/>
  <c r="G480" i="4"/>
  <c r="G481" i="4"/>
  <c r="G482" i="4"/>
  <c r="G483" i="4"/>
  <c r="G486" i="4"/>
  <c r="G487" i="4"/>
  <c r="G488" i="4"/>
  <c r="G489" i="4"/>
  <c r="G490" i="4"/>
  <c r="G491" i="4"/>
  <c r="G492" i="4"/>
  <c r="G493" i="4"/>
  <c r="G494" i="4"/>
  <c r="G495" i="4"/>
  <c r="G496" i="4"/>
  <c r="G498" i="4"/>
  <c r="G499" i="4"/>
  <c r="G500" i="4"/>
  <c r="G501" i="4"/>
  <c r="G502" i="4"/>
  <c r="G503" i="4"/>
  <c r="G504" i="4"/>
  <c r="G505" i="4"/>
  <c r="G508" i="4"/>
  <c r="G512" i="4"/>
  <c r="G513" i="4"/>
  <c r="G514" i="4"/>
  <c r="G515" i="4"/>
  <c r="G516" i="4"/>
  <c r="G517" i="4"/>
  <c r="G518" i="4"/>
  <c r="G519" i="4"/>
  <c r="G520" i="4"/>
  <c r="G521" i="4"/>
  <c r="G522" i="4"/>
  <c r="G523" i="4"/>
  <c r="G524" i="4"/>
  <c r="G526" i="4"/>
  <c r="G527" i="4"/>
  <c r="G528" i="4"/>
  <c r="G529" i="4"/>
  <c r="G530" i="4"/>
  <c r="G531" i="4"/>
  <c r="G532" i="4"/>
  <c r="G533" i="4"/>
  <c r="G534" i="4"/>
  <c r="G535" i="4"/>
  <c r="G536" i="4"/>
  <c r="G537" i="4"/>
  <c r="G538" i="4"/>
  <c r="G540" i="4"/>
  <c r="G541" i="4"/>
  <c r="G542" i="4"/>
  <c r="G543" i="4"/>
  <c r="G544" i="4"/>
  <c r="G545" i="4"/>
  <c r="G546" i="4"/>
  <c r="G547" i="4"/>
  <c r="G548" i="4"/>
  <c r="G549" i="4"/>
  <c r="G550" i="4"/>
  <c r="G551" i="4"/>
  <c r="G552" i="4"/>
  <c r="G553" i="4"/>
  <c r="G554" i="4"/>
  <c r="G555" i="4"/>
  <c r="G556" i="4"/>
  <c r="G557" i="4"/>
  <c r="G558" i="4"/>
  <c r="G559" i="4"/>
  <c r="G560" i="4"/>
  <c r="G562" i="4"/>
  <c r="G565" i="4"/>
  <c r="G566" i="4"/>
  <c r="G567" i="4"/>
  <c r="G568" i="4"/>
  <c r="G569" i="4"/>
  <c r="G570" i="4"/>
  <c r="G571" i="4"/>
  <c r="G572" i="4"/>
  <c r="G573" i="4"/>
  <c r="G574" i="4"/>
  <c r="G576" i="4"/>
  <c r="G577" i="4"/>
  <c r="G578" i="4"/>
  <c r="G579" i="4"/>
  <c r="G581" i="4"/>
  <c r="G582" i="4"/>
  <c r="G583" i="4"/>
  <c r="G584" i="4"/>
  <c r="G585" i="4"/>
  <c r="G587" i="4"/>
  <c r="G588" i="4"/>
  <c r="G589" i="4"/>
  <c r="G590" i="4"/>
  <c r="G591" i="4"/>
  <c r="G593" i="4"/>
  <c r="G594" i="4"/>
  <c r="G595" i="4"/>
  <c r="G597" i="4"/>
  <c r="G598" i="4"/>
  <c r="G599" i="4"/>
  <c r="G600" i="4"/>
  <c r="G601" i="4"/>
  <c r="G604" i="4"/>
  <c r="G605" i="4"/>
  <c r="G606" i="4"/>
  <c r="G607" i="4"/>
  <c r="G609" i="4"/>
  <c r="G610" i="4"/>
  <c r="G611" i="4"/>
  <c r="G612" i="4"/>
  <c r="G613" i="4"/>
  <c r="G614" i="4"/>
  <c r="G615" i="4"/>
  <c r="G616" i="4"/>
  <c r="G617" i="4"/>
  <c r="G619" i="4"/>
  <c r="G620" i="4"/>
  <c r="G621" i="4"/>
  <c r="G622" i="4"/>
  <c r="G623" i="4"/>
  <c r="G624" i="4"/>
  <c r="G625" i="4"/>
  <c r="G627" i="4"/>
  <c r="G628" i="4"/>
  <c r="G629" i="4"/>
  <c r="G630" i="4"/>
  <c r="G634" i="4"/>
  <c r="G635" i="4"/>
  <c r="G636" i="4"/>
  <c r="G637" i="4"/>
  <c r="G638" i="4"/>
  <c r="G639" i="4"/>
  <c r="G641" i="4"/>
  <c r="G642" i="4"/>
  <c r="G643" i="4"/>
  <c r="G645" i="4"/>
  <c r="G646" i="4"/>
  <c r="G647" i="4"/>
  <c r="G648" i="4"/>
  <c r="G649" i="4"/>
  <c r="G651" i="4"/>
  <c r="G652" i="4"/>
  <c r="G653" i="4"/>
  <c r="G654" i="4"/>
  <c r="G656" i="4"/>
  <c r="G657" i="4"/>
  <c r="G658" i="4"/>
  <c r="G659" i="4"/>
  <c r="G660" i="4"/>
  <c r="G661" i="4"/>
  <c r="G662" i="4"/>
  <c r="G663" i="4"/>
  <c r="G664" i="4"/>
  <c r="G665" i="4"/>
  <c r="G666" i="4"/>
  <c r="G669" i="4"/>
  <c r="G670" i="4"/>
  <c r="G671" i="4"/>
  <c r="G673" i="4"/>
  <c r="G674" i="4"/>
  <c r="G675" i="4"/>
  <c r="G676" i="4"/>
  <c r="G677" i="4"/>
  <c r="G678" i="4"/>
  <c r="G680" i="4"/>
  <c r="G681" i="4"/>
  <c r="G682" i="4"/>
  <c r="G683" i="4"/>
  <c r="G685" i="4"/>
  <c r="G686" i="4"/>
  <c r="G687" i="4"/>
  <c r="G688" i="4"/>
  <c r="G690" i="4"/>
  <c r="G691" i="4"/>
  <c r="G693" i="4"/>
  <c r="G696" i="4"/>
  <c r="G697" i="4"/>
  <c r="G698" i="4"/>
  <c r="G700" i="4"/>
  <c r="G701" i="4"/>
  <c r="G702" i="4"/>
  <c r="G703" i="4"/>
  <c r="G705" i="4"/>
  <c r="G706" i="4"/>
  <c r="G708" i="4"/>
  <c r="G709" i="4"/>
  <c r="G711" i="4"/>
  <c r="G712" i="4"/>
  <c r="G713" i="4"/>
  <c r="G715" i="4"/>
  <c r="G718" i="4"/>
  <c r="G720" i="4"/>
  <c r="G721" i="4"/>
  <c r="G723" i="4"/>
  <c r="G724" i="4"/>
  <c r="G726" i="4"/>
  <c r="G727" i="4"/>
  <c r="G728" i="4"/>
  <c r="G731" i="4"/>
  <c r="G732" i="4"/>
  <c r="G733" i="4"/>
  <c r="G734" i="4"/>
  <c r="G736" i="4"/>
  <c r="G737" i="4"/>
  <c r="G738" i="4"/>
  <c r="G739" i="4"/>
  <c r="G745" i="4"/>
  <c r="G747" i="4"/>
  <c r="G748" i="4"/>
  <c r="G750" i="4"/>
  <c r="G751" i="4"/>
  <c r="G753" i="4"/>
  <c r="G754" i="4"/>
  <c r="G756" i="4"/>
  <c r="G757" i="4"/>
  <c r="G758" i="4"/>
  <c r="G759" i="4"/>
  <c r="G762" i="4"/>
  <c r="G765" i="4"/>
  <c r="G766" i="4"/>
  <c r="G768" i="4"/>
  <c r="G3" i="4"/>
  <c r="G4" i="4"/>
  <c r="G5" i="4"/>
  <c r="G6" i="4"/>
  <c r="G13" i="4"/>
  <c r="G35" i="4"/>
  <c r="G40" i="4"/>
  <c r="G45" i="4"/>
  <c r="G46" i="4"/>
  <c r="G49" i="4"/>
  <c r="G50" i="4"/>
  <c r="G55" i="4"/>
  <c r="G59" i="4"/>
  <c r="G61" i="4"/>
  <c r="G66" i="4"/>
  <c r="G71" i="4"/>
  <c r="G72" i="4"/>
  <c r="G77" i="4"/>
  <c r="G83" i="4"/>
  <c r="G84" i="4"/>
  <c r="G88" i="4"/>
  <c r="G89" i="4"/>
  <c r="G109" i="4"/>
  <c r="G129" i="4"/>
  <c r="G130" i="4"/>
  <c r="G156" i="4"/>
  <c r="G162" i="4"/>
  <c r="G166" i="4"/>
  <c r="G167" i="4"/>
  <c r="G170" i="4"/>
  <c r="G173" i="4"/>
  <c r="G201" i="4"/>
  <c r="G204" i="4"/>
  <c r="G210" i="4"/>
  <c r="G214" i="4"/>
  <c r="G219" i="4"/>
  <c r="G226" i="4"/>
  <c r="G239" i="4"/>
  <c r="G249" i="4"/>
  <c r="G250" i="4"/>
  <c r="G251" i="4"/>
  <c r="G253" i="4"/>
  <c r="G258" i="4"/>
  <c r="G264" i="4"/>
  <c r="G267" i="4"/>
  <c r="G270" i="4"/>
  <c r="G273" i="4"/>
  <c r="G288" i="4"/>
  <c r="G289" i="4"/>
  <c r="G299" i="4"/>
  <c r="G302" i="4"/>
  <c r="G306" i="4"/>
  <c r="G312" i="4"/>
  <c r="G316" i="4"/>
  <c r="G320" i="4"/>
  <c r="G323" i="4"/>
  <c r="G324" i="4"/>
  <c r="G335" i="4"/>
  <c r="G336" i="4"/>
  <c r="G337" i="4"/>
  <c r="G374" i="4"/>
  <c r="G414" i="4"/>
  <c r="G453" i="4"/>
  <c r="G457" i="4"/>
  <c r="G458" i="4"/>
  <c r="G459" i="4"/>
  <c r="G473" i="4"/>
  <c r="G474" i="4"/>
  <c r="G484" i="4"/>
  <c r="G485" i="4"/>
  <c r="G497" i="4"/>
  <c r="G506" i="4"/>
  <c r="G507" i="4"/>
  <c r="G509" i="4"/>
  <c r="G510" i="4"/>
  <c r="G511" i="4"/>
  <c r="G525" i="4"/>
  <c r="G539" i="4"/>
  <c r="G561" i="4"/>
  <c r="G563" i="4"/>
  <c r="G564" i="4"/>
  <c r="G575" i="4"/>
  <c r="G580" i="4"/>
  <c r="G586" i="4"/>
  <c r="G592" i="4"/>
  <c r="G596" i="4"/>
  <c r="G602" i="4"/>
  <c r="G603" i="4"/>
  <c r="G608" i="4"/>
  <c r="G618" i="4"/>
  <c r="G626" i="4"/>
  <c r="G631" i="4"/>
  <c r="G632" i="4"/>
  <c r="G633" i="4"/>
  <c r="G640" i="4"/>
  <c r="G644" i="4"/>
  <c r="G650" i="4"/>
  <c r="G655" i="4"/>
  <c r="G667" i="4"/>
  <c r="G668" i="4"/>
  <c r="G672" i="4"/>
  <c r="G679" i="4"/>
  <c r="G684" i="4"/>
  <c r="G689" i="4"/>
  <c r="G692" i="4"/>
  <c r="G694" i="4"/>
  <c r="G695" i="4"/>
  <c r="G699" i="4"/>
  <c r="G704" i="4"/>
  <c r="G707" i="4"/>
  <c r="G710" i="4"/>
  <c r="G714" i="4"/>
  <c r="G716" i="4"/>
  <c r="G717" i="4"/>
  <c r="G719" i="4"/>
  <c r="G722" i="4"/>
  <c r="G725" i="4"/>
  <c r="G729" i="4"/>
  <c r="G730" i="4"/>
  <c r="G735" i="4"/>
  <c r="G740" i="4"/>
  <c r="G741" i="4"/>
  <c r="G742" i="4"/>
  <c r="G743" i="4"/>
  <c r="G744" i="4"/>
  <c r="G746" i="4"/>
  <c r="G749" i="4"/>
  <c r="G752" i="4"/>
  <c r="G755" i="4"/>
  <c r="G760" i="4"/>
  <c r="G761" i="4"/>
  <c r="G763" i="4"/>
  <c r="G764" i="4"/>
  <c r="G76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користувач</author>
  </authors>
  <commentList>
    <comment ref="P55" authorId="0" shapeId="0" xr:uid="{B7CE010C-6BC5-4C93-8CDB-CB926219E59B}">
      <text>
        <r>
          <rPr>
            <b/>
            <sz val="9"/>
            <color indexed="81"/>
            <rFont val="Tahoma"/>
            <family val="2"/>
            <charset val="204"/>
          </rPr>
          <t>користувач:</t>
        </r>
        <r>
          <rPr>
            <sz val="9"/>
            <color indexed="81"/>
            <rFont val="Tahoma"/>
            <family val="2"/>
            <charset val="204"/>
          </rPr>
          <t xml:space="preserve">
</t>
        </r>
      </text>
    </comment>
    <comment ref="P70" authorId="0" shapeId="0" xr:uid="{72B843A1-2CB7-4B51-963E-A063543B7995}">
      <text>
        <r>
          <rPr>
            <b/>
            <sz val="9"/>
            <color indexed="81"/>
            <rFont val="Tahoma"/>
            <family val="2"/>
            <charset val="204"/>
          </rPr>
          <t>користувач:</t>
        </r>
        <r>
          <rPr>
            <sz val="9"/>
            <color indexed="81"/>
            <rFont val="Tahoma"/>
            <family val="2"/>
            <charset val="204"/>
          </rPr>
          <t xml:space="preserve">
додав</t>
        </r>
      </text>
    </comment>
  </commentList>
</comments>
</file>

<file path=xl/sharedStrings.xml><?xml version="1.0" encoding="utf-8"?>
<sst xmlns="http://schemas.openxmlformats.org/spreadsheetml/2006/main" count="3310" uniqueCount="926">
  <si>
    <t>Наслідок CSF (Функція, категорія або підкатегорія)</t>
  </si>
  <si>
    <t>NIST CSF 1.1 Reference</t>
  </si>
  <si>
    <t>Опис наслідку CSF</t>
  </si>
  <si>
    <t>Включено в профіль?</t>
  </si>
  <si>
    <t>Обгрунтування</t>
  </si>
  <si>
    <t>Поточний пріоритет</t>
  </si>
  <si>
    <t xml:space="preserve">NIST SP 800-61r3 ipd </t>
  </si>
  <si>
    <t>Поточний стан</t>
  </si>
  <si>
    <t>Поточні політики, процеси та процедури</t>
  </si>
  <si>
    <t>Поточні внутрішні практики</t>
  </si>
  <si>
    <t>Поточні ролі та обов'язки</t>
  </si>
  <si>
    <t>Поточні обрані інформативні посилання</t>
  </si>
  <si>
    <t>Поточні артефакти та докази</t>
  </si>
  <si>
    <t>Цільовий пріоритет</t>
  </si>
  <si>
    <t>Цільовий рівень CSF</t>
  </si>
  <si>
    <t>Цільові політики, процеси та процедури</t>
  </si>
  <si>
    <t>Цільові внутрішні практики</t>
  </si>
  <si>
    <t>Цільові ролі та обов'язки</t>
  </si>
  <si>
    <t>Цільові обрані інформативні посилання</t>
  </si>
  <si>
    <t>GV.OC-01</t>
  </si>
  <si>
    <t>ID.BE-2</t>
  </si>
  <si>
    <t>The organizational mission is understood and informs cybersecurity risk management</t>
  </si>
  <si>
    <t>забезпечити усвідомлення органами державної влади, підприємствами, установами, організаціями будь-якої форми власності, юридичною та/або фізичною особою, якому/якій на правах власності, оренди або на інших законних підставах належить об’єкт кіберзахисту або який/яка відповідає за його поточне функціонування (далі – організація), які здійснюють управління ризиками кібербезпеки, місії організації.</t>
  </si>
  <si>
    <t>No</t>
  </si>
  <si>
    <t>GV.OC-02</t>
  </si>
  <si>
    <t>ID.SC-2</t>
  </si>
  <si>
    <t>Internal and external stakeholders are understood, and their needs and expectations regarding cybersecurity risk management are understood and considered</t>
  </si>
  <si>
    <t>внутрішні та зовнішні заінтересовані сторони усвідомили, а їхні потреби та очікування від впровадження управління ризиками кібербезпеки визначені та впроваджені.</t>
  </si>
  <si>
    <t>GV.OC-03</t>
  </si>
  <si>
    <t>ID.GV-3</t>
  </si>
  <si>
    <t>Legal, regulatory, and contractual requirements regarding cybersecurity - including privacy and civil liberties obligations - are understood and managed</t>
  </si>
  <si>
    <t>визначити та забезпечити виконання персоналом існуючих законодавчих, нормативних та договірних вимог, а також вимог організації щодо кібербезпеки, включаючи вимоги щодо нерозголошення конфіденційної інформації та захисту прав та свобод.</t>
  </si>
  <si>
    <t>GV.OC-04</t>
  </si>
  <si>
    <t>ID.BE-4</t>
  </si>
  <si>
    <t>Critical objectives, capabilities, and services that stakeholders depend on or expect from the organization are understood and communicated</t>
  </si>
  <si>
    <t>визначити ключові цілі, критичні послуги та спроможності, які очікуються постачальниками від організації, що доведені та усвідомлені її персоналом.</t>
  </si>
  <si>
    <t>GV.OC-05</t>
  </si>
  <si>
    <t>ID.BE-1</t>
  </si>
  <si>
    <t>Outcomes, capabilities, and services that the organization depends on are understood and communicated</t>
  </si>
  <si>
    <t>визначити наслідки, спроможності та послуги, від яких залежить діяльність організації, довести та забезпечити їх усвідомлення персоналом.</t>
  </si>
  <si>
    <t>GV.RM-01</t>
  </si>
  <si>
    <t>ID.RM-1</t>
  </si>
  <si>
    <t>Risk management objectives are established and agreed to by organizational stakeholders</t>
  </si>
  <si>
    <t>визначити та узгодити із заінтересованими сторонами організації цілі управління ризиками.</t>
  </si>
  <si>
    <t>GV.RM-02</t>
  </si>
  <si>
    <t>ID.RM-2</t>
  </si>
  <si>
    <t>Risk appetite and risk tolerance statements are established, communicated, and maintained</t>
  </si>
  <si>
    <t>визначити допустимий рівень ризику, який суб’єкт забезпечення кібербезпеки може прийняти, довести до відома всіх співробітників та заінтересованих сторін та підтримувати таку інформацію в актуальному стані.</t>
  </si>
  <si>
    <t>GV.RM-03</t>
  </si>
  <si>
    <t>ID.GV-4</t>
  </si>
  <si>
    <t>Cybersecurity risk management activities and outcomes are included in enterprise risk management processes</t>
  </si>
  <si>
    <t>додати до процесів управління ризиками організації діяльність з управління ризиками кібербезпеки та досягнення її цілей.</t>
  </si>
  <si>
    <t>GV.RM-04</t>
  </si>
  <si>
    <t>Strategic direction that describes appropriate risk response options is established and communicated</t>
  </si>
  <si>
    <t>визначити та довести до відома персоналу стратегічні напрями, які описують відповідні варіанти реагування на ризики.</t>
  </si>
  <si>
    <t>GV.RM-05</t>
  </si>
  <si>
    <t>ID.SC-1</t>
  </si>
  <si>
    <t>Lines of communication across the organization are established for cybersecurity risks, including risks from suppliers and other third parties</t>
  </si>
  <si>
    <t>визначити та довести до відома персоналу способи обміну інформацією всередині організації щодо ризиків кібербезпеки, включаючи ризики, які несуть постачальники та інші треті сторони.</t>
  </si>
  <si>
    <t>GV.RM-06</t>
  </si>
  <si>
    <t>A standardized method for calculating, documenting, categorizing, and prioritizing cybersecurity risks is established and communicated</t>
  </si>
  <si>
    <t>визначити та довести до відома персоналу стандартизовані методи розрахунку, документування, ідентифікації та визначення пріоритетності ризиків кібербезпеки.</t>
  </si>
  <si>
    <t>GV.RM-07</t>
  </si>
  <si>
    <t>Strategic opportunities (i.e., positive risks) are characterized and are included in organizational cybersecurity risk discussions</t>
  </si>
  <si>
    <t>визначити, охарактеризувати та забезпечувати обговорення зі співробітниками організації стратегічних можливостей щодо управління ризиками кібербезпеки.</t>
  </si>
  <si>
    <t>GV.RR-01</t>
  </si>
  <si>
    <t>Organizational leadership is responsible and accountable for cybersecurity risk and fosters a culture that is risk-aware, ethical, and continually improving</t>
  </si>
  <si>
    <t>визначити із числа керівництва організації посадову особу, яка звітує про ризики кібербезпеки та підтримання культури поведінки щодо усвідомлення ризиків та етики, її постійне вдосконалення, а також відповідає за них.</t>
  </si>
  <si>
    <t>GV.RR-02</t>
  </si>
  <si>
    <t>ID.AM-6</t>
  </si>
  <si>
    <t>Roles, responsibilities, and authorities related to cybersecurity risk management are established, communicated, understood, and enforced</t>
  </si>
  <si>
    <t>визначити ролі, відповідальність та державні органи (підрозділи), залучені до управління ризиками кібербезпеки, забезпечити їх розуміння персоналом і здійснювати контроль за їх дотриманням.</t>
  </si>
  <si>
    <t>GV.RR-03</t>
  </si>
  <si>
    <t>Adequate resources are allocated commensurate with the cybersecurity risk strategy, roles, responsibilities, and policies</t>
  </si>
  <si>
    <t>визначити необхідні ресурси відповідно до стратегії управління ризиками кібербезпеки, ролей, відповідальності та політик.</t>
  </si>
  <si>
    <t>GV.RR-04</t>
  </si>
  <si>
    <t>PR.IP-11</t>
  </si>
  <si>
    <t>Cybersecurity is included in human resources practices</t>
  </si>
  <si>
    <t>додати кібербезпеку до практик управління людськими ресурсами.</t>
  </si>
  <si>
    <t>GV.PO-01</t>
  </si>
  <si>
    <t>ID.GV-1</t>
  </si>
  <si>
    <t>Policy for managing cybersecurity risks is established based on organizational context, cybersecurity strategy, and priorities and is communicated and enforced</t>
  </si>
  <si>
    <t>розробити та довести до відома персоналу організації політику управління ризиками кібербезпеки, яка визначена з урахуванням структури організації, стратегії кібербезпеки та пріоритетів.</t>
  </si>
  <si>
    <t>GV.PO-02</t>
  </si>
  <si>
    <t>Policy for managing cybersecurity risks is reviewed, updated, communicated, and enforced to reflect changes in requirements, threats, technology, and organizational mission</t>
  </si>
  <si>
    <t>забезпечити періодичний перегляд, оновлення, доведення та виконання політики управління ризиками кібербезпеки з урахуванням змін нормативних вимог, загроз, технологій та місії організації.</t>
  </si>
  <si>
    <t>GV.OV-01</t>
  </si>
  <si>
    <t>Cybersecurity risk management strategy outcomes are reviewed to inform and adjust strategy and direction</t>
  </si>
  <si>
    <t>забезпечити врахування результатів стратегії управління ризиками кібербезпеки для вдосконалення та коригування її напрямів.</t>
  </si>
  <si>
    <t>GV.OV-02</t>
  </si>
  <si>
    <t>The cybersecurity risk management strategy is reviewed and adjusted to ensure coverage of organizational requirements and risks</t>
  </si>
  <si>
    <t>забезпечити перегляд та коригування стратегії управління ризиками кібербезпеки для забезпечення охоплення нею вимог організації та ризиків.</t>
  </si>
  <si>
    <t>GV.OV-03</t>
  </si>
  <si>
    <t>Organizational cybersecurity risk management performance is evaluated and reviewed for adjustments needed</t>
  </si>
  <si>
    <t>забезпечити оцінювання продуктивності управління ризиками кібербезпеки для перегляду, внесення необхідних коригувань відповідно до поточних потреб.</t>
  </si>
  <si>
    <t>GV.SC-01</t>
  </si>
  <si>
    <t>A cybersecurity supply chain risk management program, strategy, objectives, policies, and processes are established and agreed to by organizational stakeholders</t>
  </si>
  <si>
    <t>розробити програму, стратегію, цілі, політики та процеси управління ризиками кібербезпеки, пов’язаними з ланцюгами постачання, погодити їх із заінтересованими сторонами організації.</t>
  </si>
  <si>
    <t>GV.SC-02</t>
  </si>
  <si>
    <t>Cybersecurity roles and responsibilities for suppliers, customers, and partners are established, communicated, and coordinated internally and externally</t>
  </si>
  <si>
    <t>розробити, довести, здійснювати внутрішню та зовнішню координацію ролей з кібербезпеки при їх виконанні постачальниками, користувачами та партнерами організації.</t>
  </si>
  <si>
    <t>GV.SC-03</t>
  </si>
  <si>
    <t>Cybersecurity supply chain risk management is integrated into cybersecurity and enterprise risk management, risk assessment, and improvement processes</t>
  </si>
  <si>
    <t>забезпечити інтеграцію управління ризиками ланцюга постачання у сфері кібербезпеки в процеси управління ризиками кібербезпеки організації, оцінку ризиків і їх вдосконалення.</t>
  </si>
  <si>
    <t>GV.SC-04</t>
  </si>
  <si>
    <t>Suppliers are known and prioritized by criticality</t>
  </si>
  <si>
    <t>визначити та пріоритизувати постачальників за ступенем критичності.</t>
  </si>
  <si>
    <t>GV.SC-05</t>
  </si>
  <si>
    <t>ID.SC-3</t>
  </si>
  <si>
    <t>Requirements to address cybersecurity risks in supply chains are established, prioritized, and integrated into contracts and other types of agreements with suppliers and other relevant third parties</t>
  </si>
  <si>
    <t>встановити вимоги, пов’язані з ризиками кібербезпеки в ланцюгах постачання, та впровадити їх в договори/контракти або інші типи договорів з постачальниками та відповідними третіми сторонами.</t>
  </si>
  <si>
    <t>GV.SC-06</t>
  </si>
  <si>
    <t>Planning and due diligence are performed to reduce risks before entering into formal supplier or other third-party relationships</t>
  </si>
  <si>
    <t>забезпечити планування та комплексну перевірку постачальників або інших третіх сторін для зменшення ризиків перед початком договірних відносин з ними.</t>
  </si>
  <si>
    <t>GV.SC-07</t>
  </si>
  <si>
    <t>The risks posed by a supplier, their products and services, and other third parties are understood, recorded, prioritized, assessed, responded to, and monitored over the course of the relationship</t>
  </si>
  <si>
    <t>визначити ризики, пов’язані з постачальником, його продукцією та послугами, які він надає, з іншими третіми сторонами, усвідомити їх, зареєструвати, пріоритизувати та забезпечити реагування на них і контроль протягом всієї співпраці.</t>
  </si>
  <si>
    <t>GV.SC-08</t>
  </si>
  <si>
    <t>ID.SC-5</t>
  </si>
  <si>
    <t>Relevant suppliers and other third parties are included in incident planning, response, and recovery activities</t>
  </si>
  <si>
    <t>забезпечити залучення відповідних постачальників та інших третіх сторін до діяльності щодо планування, реагування та відновлення після інцидентів.</t>
  </si>
  <si>
    <t>GV.SC-09</t>
  </si>
  <si>
    <t>Supply chain security practices are integrated into cybersecurity and enterprise risk management programs, and their performance is monitored throughout the technology product and service life cycle</t>
  </si>
  <si>
    <t>інтегрувати практичні заходи щодо забезпечення безпеки ланцюга постачання в програми організації щодо кібербезпеки та управління ризиками, контролювати їх ефективність протягом всього життєвого циклу користування продуктами та послугами, які суб’єкт отримує від постачальника чи інших третіх сторін.</t>
  </si>
  <si>
    <t>GV.SC-10</t>
  </si>
  <si>
    <t>Cybersecurity supply chain risk management plans include provisions for activities that occur after the conclusion of a partnership or service agreement</t>
  </si>
  <si>
    <t>передбачити в планах управління ризиками кібербезпеки, пов’язаними з ланцюгами постачання, порядок дій, які необхідно виконати після прийняття рішення щодо партнерства або укладання договору про надання послуг.</t>
  </si>
  <si>
    <t>ID.AM-01</t>
  </si>
  <si>
    <t>ID.AM-1</t>
  </si>
  <si>
    <t>Inventories of hardware managed by the organization are maintained</t>
  </si>
  <si>
    <t>забезпечити періодичне проведення інвентаризації обладнання, яким керує організація.</t>
  </si>
  <si>
    <t>ID.AM-02</t>
  </si>
  <si>
    <t>ID.AM-2</t>
  </si>
  <si>
    <t>Inventories of software, services, and systems managed by the organization are maintained</t>
  </si>
  <si>
    <t>забезпечити періодичне проведення інвентаризації програмного забезпечення, послуг і систем, якими керує організація.</t>
  </si>
  <si>
    <t>ID.AM-03</t>
  </si>
  <si>
    <t>ID.AM-3</t>
  </si>
  <si>
    <t>Representations of the organization's authorized network communication and internal and external network data flows are maintained</t>
  </si>
  <si>
    <t>забезпечити підтримку використання авторизованих мережевих з’єднань та визначити внутрішні і зовнішні мережеві потоки.</t>
  </si>
  <si>
    <t>ID.AM-04</t>
  </si>
  <si>
    <t>ID.AM-4</t>
  </si>
  <si>
    <t>Inventories of services provided by suppliers are maintained</t>
  </si>
  <si>
    <t>забезпечити періодичне проведення інвентаризації послуг, що надаються постачальниками.</t>
  </si>
  <si>
    <t>ID.AM-05</t>
  </si>
  <si>
    <t>ID.AM-5</t>
  </si>
  <si>
    <t>Assets are prioritized based on classification, criticality, resources, and impact on the mission</t>
  </si>
  <si>
    <t>здійснити пріоритизацію активів за їх класифікацією, критичністю, ресурсами, впливом на місію організації.</t>
  </si>
  <si>
    <t>ID.AM-07</t>
  </si>
  <si>
    <t>Inventories of data and corresponding metadata for designated data types are maintained</t>
  </si>
  <si>
    <t>забезпечити інвентаризацію даних і пов’язаних з ними метаданих відповідно до визначених типів даних.</t>
  </si>
  <si>
    <t>ID.AM-08</t>
  </si>
  <si>
    <t>PR.DS-3</t>
  </si>
  <si>
    <t>Systems, hardware, software, services, and data are managed throughout their life cycles</t>
  </si>
  <si>
    <t>забезпечити управління системами, апаратним та програмним забезпеченням, послугами та даними протягом усього їх життєвого циклу.</t>
  </si>
  <si>
    <t>ID.RA-01</t>
  </si>
  <si>
    <t>ID.RA-1</t>
  </si>
  <si>
    <t>Vulnerabilities in assets are identified, validated, and recorded</t>
  </si>
  <si>
    <t>ідентифікувати, підтверджувати та вести записи щодо вразливих місць активів.</t>
  </si>
  <si>
    <t>ID.RA-02</t>
  </si>
  <si>
    <t>ID.RA-2</t>
  </si>
  <si>
    <t>Cyber threat intelligence is received from information sharing forums and sources</t>
  </si>
  <si>
    <t>організувати отримання інформації про загрози безпеки та вразливості з форумів обміну інформацією та офіційних джерел.</t>
  </si>
  <si>
    <t>ID.RA-03</t>
  </si>
  <si>
    <t>ID.RA-3</t>
  </si>
  <si>
    <t>Internal and external threats to the organization are identified and recorded</t>
  </si>
  <si>
    <t>визначити та задокументувати внутрішні та зовнішні загрози.</t>
  </si>
  <si>
    <t>ID.RA-04</t>
  </si>
  <si>
    <t>ID.RA-4</t>
  </si>
  <si>
    <t>Potential impacts and likelihoods of threats exploiting vulnerabilities are identified and recorded</t>
  </si>
  <si>
    <t>визначити та задокументувати потенційні наслідки та вірогідні загрози, пов’язані з експлуатацією вразливостей.</t>
  </si>
  <si>
    <t>ID.RA-05</t>
  </si>
  <si>
    <t>ID.RA-5</t>
  </si>
  <si>
    <t>Threats, vulnerabilities, likelihoods, and impacts are used to understand inherent risk and inform risk response prioritization</t>
  </si>
  <si>
    <t>забезпечити використання інформації про вірогідні загрози, вразливості та можливі наслідки від їх настання для розуміння невід’ємного ризику та інформування про пріоритетність реагування на ризики.</t>
  </si>
  <si>
    <t>ID.RA-06</t>
  </si>
  <si>
    <t>ID.RA-6</t>
  </si>
  <si>
    <t>Risk responses are chosen, prioritized, planned, tracked, and communicated</t>
  </si>
  <si>
    <t>визначити заходи реагування на ризики кібербезпеки та встановити їх пріоритетність, забезпечити їх відслідковування та комунікацію щодо них.</t>
  </si>
  <si>
    <t>ID.RA-07</t>
  </si>
  <si>
    <t>PR.IP-3</t>
  </si>
  <si>
    <t>Changes and exceptions are managed, assessed for risk impact, recorded, and tracked</t>
  </si>
  <si>
    <t>забезпечити управління, оцінювання на предмет ризику, реєстрацію та відстеження змін та винятків до затвердженої документації.</t>
  </si>
  <si>
    <t>ID.RA-08</t>
  </si>
  <si>
    <t>RS.AN-5</t>
  </si>
  <si>
    <t>Processes for receiving, analyzing, and responding to vulnerability disclosures are established</t>
  </si>
  <si>
    <t>визначити процеси отримання, аналізу та реагування на опубліковані повідомлення про виявлені вразливості.</t>
  </si>
  <si>
    <t>ID.RA-09</t>
  </si>
  <si>
    <t>PR.DS-8</t>
  </si>
  <si>
    <t>The authenticity and integrity of hardware and software are assessed prior to acquisition and use</t>
  </si>
  <si>
    <t>проводити перевірку автентичності і цілісності обладнання та програмного забезпечення перед його придбанням і використанням.</t>
  </si>
  <si>
    <t>ID.RA-10</t>
  </si>
  <si>
    <t>Critical suppliers are assessed prior to acquisition</t>
  </si>
  <si>
    <t>забезпечити проведення оцінювання постачальників перед придбанням у них критично важливих для організації продуктів і послуг.</t>
  </si>
  <si>
    <t>ID.IM-01</t>
  </si>
  <si>
    <t>Improvements are identified from evaluations</t>
  </si>
  <si>
    <t>визначити напрями удосконалення за результатами проведеного оцінювання стану кіберзахисту.</t>
  </si>
  <si>
    <t>ID.IM-02</t>
  </si>
  <si>
    <t>Improvements are identified from security tests and exercises, including those done in coordination with suppliers and relevant third parties</t>
  </si>
  <si>
    <t>визначити напрями удосконалення за результатами тестування безпеки та навчальних вправ, включаючи їх виконання у взаємодії з постачальниками та відповідними третіми сторонами.</t>
  </si>
  <si>
    <t>ID.IM-03</t>
  </si>
  <si>
    <t>PR.IP-7</t>
  </si>
  <si>
    <t>Improvements are identified from execution of operational processes, procedures, and activities</t>
  </si>
  <si>
    <t>визначати покращення під час виконання операційних процесів, процедур і дій.</t>
  </si>
  <si>
    <t>ID.IM-04</t>
  </si>
  <si>
    <t>PR.IP-9</t>
  </si>
  <si>
    <t>Incident response plans and other cybersecurity plans that affect operations are established, communicated, maintained, and improved</t>
  </si>
  <si>
    <t>розробити, затвердити, довести до відома персоналу, переглядати та удосконалювати Плани реагування на інциденти та інші плани кібербезпеки, які впливають на діяльність організації.</t>
  </si>
  <si>
    <t>PR.AA-01</t>
  </si>
  <si>
    <t>PR.AC-1</t>
  </si>
  <si>
    <t>Identities and credentials for authorized users, services, and hardware are managed by the organization</t>
  </si>
  <si>
    <t>забезпечити на рівні організації керування суб’єктами та їх обліковими даними для авторизованих користувачів, служб і апаратного забезпечення.</t>
  </si>
  <si>
    <t>PR.AA-02</t>
  </si>
  <si>
    <t>PR.AC-6</t>
  </si>
  <si>
    <t>Identities are proofed and bound to credentials based on the context of interactions</t>
  </si>
  <si>
    <t>забезпечити підтвердження ідентичності користувачів та їх відповідність обліковим записам на основі умов взаємодії.</t>
  </si>
  <si>
    <t>PR.AA-03</t>
  </si>
  <si>
    <t>PR.AC-3</t>
  </si>
  <si>
    <t>Users, services, and hardware are authenticated</t>
  </si>
  <si>
    <t>забезпечити автентифікацію користувачів, служб та апаратного забезпечення.</t>
  </si>
  <si>
    <t>PR.AA-04</t>
  </si>
  <si>
    <t>Identity assertions are protected, conveyed, and verified</t>
  </si>
  <si>
    <t>забезпечити перевіряння, захист та передавання інформації про запити на ідентифікацію.</t>
  </si>
  <si>
    <t>PR.AA-05</t>
  </si>
  <si>
    <t>Access permissions, entitlements, and authorizations are defined in a policy, managed, enforced, and reviewed, and incorporate the principles of least privilege and separation of duties</t>
  </si>
  <si>
    <t>визначити в політиці, дотримуючись принципів найменших привілеїв і розподілу обов’язків, дозволи доступу, повноваження та авторизації, керувати ними, застосовувати та переглядати.</t>
  </si>
  <si>
    <t>PR.AA-06</t>
  </si>
  <si>
    <t>PR.AC-2</t>
  </si>
  <si>
    <t>Physical access to assets is managed, monitored, and enforced commensurate with risk</t>
  </si>
  <si>
    <t>здійснювати управління та моніторинг фізичного доступу до активів відповідно до ризику.</t>
  </si>
  <si>
    <t>PR.AT-01</t>
  </si>
  <si>
    <t>PR.AT-1</t>
  </si>
  <si>
    <t>Personnel are provided with awareness and training so that they possess the knowledge and skills to perform general tasks with cybersecurity risks in mind</t>
  </si>
  <si>
    <t>забезпечити обізнаність та навченість персоналу таким чином, що він має знання та навички для виконання основних завдань щодо ризиків кібербезпеки.</t>
  </si>
  <si>
    <t>PR.AT-02</t>
  </si>
  <si>
    <t>PR.AT-2</t>
  </si>
  <si>
    <t>Individuals in specialized roles are provided with awareness and training so that they possess the knowledge and skills to perform relevant tasks with cybersecurity risks in mind</t>
  </si>
  <si>
    <t>забезпечити обізнаність та навченість співробітників, які безпосередньо виконують завдання із забезпечення кібербезпеки, кіберзахисту, таким чином, що вони мають знання та навички для виконання встановлених завдань щодо ризиків кібербезпеки.</t>
  </si>
  <si>
    <t>PR.DS-01</t>
  </si>
  <si>
    <t>PR.DS-1</t>
  </si>
  <si>
    <t>The confidentiality, integrity, and availability of data-at-rest are protected</t>
  </si>
  <si>
    <t>забезпечити конфіденційність, цілісність і доступність даних, що зберігаються в обладнанні систем організації.</t>
  </si>
  <si>
    <t>PR.DS-02</t>
  </si>
  <si>
    <t>PR.DS-2</t>
  </si>
  <si>
    <t>The confidentiality, integrity, and availability of data-in-transit are protected</t>
  </si>
  <si>
    <t>забезпечити конфіденційність, цілісність і доступність даних, що передаються.</t>
  </si>
  <si>
    <t>PR.DS-10</t>
  </si>
  <si>
    <t>PR.DS-5</t>
  </si>
  <si>
    <t>The confidentiality, integrity, and availability of data-in-use are protected</t>
  </si>
  <si>
    <t>забезпечити конфіденційність, цілісність і доступність даних, що використовуються</t>
  </si>
  <si>
    <t>PR.DS-11</t>
  </si>
  <si>
    <t>PR.IP-4</t>
  </si>
  <si>
    <t>Backups of data are created, protected, maintained, and tested</t>
  </si>
  <si>
    <t>забезпечити створення, захист, підтримку та тестування резервних копій даних.</t>
  </si>
  <si>
    <t>PR.PS-01</t>
  </si>
  <si>
    <t>PR.IP-1</t>
  </si>
  <si>
    <t>Configuration management practices are established and applied</t>
  </si>
  <si>
    <t>встановити та застосовувати методи керування конфігурацією.</t>
  </si>
  <si>
    <t>PR.PS-02</t>
  </si>
  <si>
    <t>PR.IP-12</t>
  </si>
  <si>
    <t>Software is maintained, replaced, and removed commensurate with risk</t>
  </si>
  <si>
    <t>забезпечити належне обслуговування, заміну та видалення програмного забезпечення відповідно до ризику.</t>
  </si>
  <si>
    <t>PR.PS-03</t>
  </si>
  <si>
    <t>PR.MA-1</t>
  </si>
  <si>
    <t>Hardware is maintained, replaced, and removed commensurate with risk</t>
  </si>
  <si>
    <t>забезпечити обслуговування, заміну та видалення обладнання відповідно до ризику.</t>
  </si>
  <si>
    <t>PR.PS-04</t>
  </si>
  <si>
    <t>PR.PT-1</t>
  </si>
  <si>
    <t>Log records are generated and made available for continuous monitoring</t>
  </si>
  <si>
    <t>створити записи журналів подій, які зроблені доступними для постійного моніторингу.</t>
  </si>
  <si>
    <t>PR.PS-05</t>
  </si>
  <si>
    <t>Installation and execution of unauthorized software are prevented</t>
  </si>
  <si>
    <t>заборонити встановлення та виконання несанкціонованого програмного забезпечення.</t>
  </si>
  <si>
    <t>PR.PS-06</t>
  </si>
  <si>
    <t>PR.IP-2</t>
  </si>
  <si>
    <t>Secure software development practices are integrated, and their performance is monitored throughout the software development life cycle</t>
  </si>
  <si>
    <t>інтегрувати практики безпечної розробки програмного забезпечення та контролювати їх виконання протягом життєвого циклу розробленого програмного забезпечення.</t>
  </si>
  <si>
    <t>PR.IR-01</t>
  </si>
  <si>
    <t>Networks and environments are protected from unauthorized logical access and usage</t>
  </si>
  <si>
    <t>забезпечити захист мережі та середовища від неавторизованого логічного доступу та використання.</t>
  </si>
  <si>
    <t>PR.IR-02</t>
  </si>
  <si>
    <t>PR.IP-5</t>
  </si>
  <si>
    <t>The organization's technology assets are protected from environmental threats</t>
  </si>
  <si>
    <t>забезпечити захист технологічних активів від загроз навколишнього середовища.</t>
  </si>
  <si>
    <t>PR.IR-03</t>
  </si>
  <si>
    <t>PR.PT-5</t>
  </si>
  <si>
    <t>Mechanisms are implemented to achieve resilience requirements in normal and adverse situations</t>
  </si>
  <si>
    <t>реалізувати механізми для досягнення вимог стійкості в нормальних і несприятливих ситуаціях.</t>
  </si>
  <si>
    <t>PR.IR-04</t>
  </si>
  <si>
    <t>PR.DS-4</t>
  </si>
  <si>
    <t>Adequate resource capacity to ensure availability is maintained</t>
  </si>
  <si>
    <t>забезпечити управління пропорційністю та адекватністю застосування ресурсів для їх доступності.</t>
  </si>
  <si>
    <t>DE.CM-01</t>
  </si>
  <si>
    <t>DE.CM-1</t>
  </si>
  <si>
    <t>Networks and network services are monitored to find potentially adverse events</t>
  </si>
  <si>
    <t>проводити постійний моніторинг мереж та мережевих служб для виявлення потенційно несприятливих подій.</t>
  </si>
  <si>
    <t>DE.CM-02</t>
  </si>
  <si>
    <t>DE.CM-2</t>
  </si>
  <si>
    <t>The physical environment is monitored to find potentially adverse events</t>
  </si>
  <si>
    <t>проводити постійний моніторинг фізичного середовища для виявлення потенційно несприятливих подій.</t>
  </si>
  <si>
    <t>DE.CM-03</t>
  </si>
  <si>
    <t>DE.CM-3</t>
  </si>
  <si>
    <t>Personnel activity and technology usage are monitored to find potentially adverse events</t>
  </si>
  <si>
    <t>проводити постійний моніторинг діяльності персоналу та використання ним технологій для виявлення потенційно несприятливих подій.</t>
  </si>
  <si>
    <t>DE.CM-06</t>
  </si>
  <si>
    <t>DE.CM-6</t>
  </si>
  <si>
    <t>External service provider activities and services are monitored to find potentially adverse events</t>
  </si>
  <si>
    <t>проводити постійний моніторинг діяльності і послуг зовнішнього постачальника для виявлення потенційно несприятливих подій.</t>
  </si>
  <si>
    <t>DE.CM-09</t>
  </si>
  <si>
    <t>PR.DS-6</t>
  </si>
  <si>
    <t>Computing hardware and software, runtime environments, and their data are monitored to find potentially adverse events</t>
  </si>
  <si>
    <t>проводити постійний моніторинг використання комп’ютерного обладнання та програмного забезпечення, середовища їх виконання та даних для виявлення потенційно несприятливих подій.</t>
  </si>
  <si>
    <t>DE.AE-02</t>
  </si>
  <si>
    <t>DE.AE-2</t>
  </si>
  <si>
    <t>Potentially adverse events are analyzed to better understand associated activities</t>
  </si>
  <si>
    <t>впровадити періодичне проведення аналізу потенційно несприятливих подій для кращого розуміння пов’язаних подій.</t>
  </si>
  <si>
    <t>DE.AE-03</t>
  </si>
  <si>
    <t>DE.AE-3</t>
  </si>
  <si>
    <t>Information is correlated from multiple sources</t>
  </si>
  <si>
    <t>впровадити періодичне проведення пошуку та зіставлення інформації з кількох джерел.</t>
  </si>
  <si>
    <t>DE.AE-04</t>
  </si>
  <si>
    <t>DE.AE-4</t>
  </si>
  <si>
    <t>The estimated impact and scope of adverse events are understood</t>
  </si>
  <si>
    <t>забезпечити усвідомлення очікуваного впливу і масштабу несприятливих подій.</t>
  </si>
  <si>
    <t>DE.AE-06</t>
  </si>
  <si>
    <t>DE.DP-4</t>
  </si>
  <si>
    <t>Information on adverse events is provided to authorized staff and tools</t>
  </si>
  <si>
    <t>забезпечити передавання інформації про несприятливі події до уповноважених підрозділів (організацій) для використання відповідного інструментарію.</t>
  </si>
  <si>
    <t>DE.AE-07</t>
  </si>
  <si>
    <t>Cyber threat intelligence and other contextual information are integrated into the analysis</t>
  </si>
  <si>
    <t>забезпечити збирання, виявлення та аналіз інформації про кіберзагрози та іншої контекстної інформації.</t>
  </si>
  <si>
    <t>DE.AE-08</t>
  </si>
  <si>
    <t>DE.AE-5</t>
  </si>
  <si>
    <t>Incidents are declared when adverse events meet the defined incident criteria</t>
  </si>
  <si>
    <t>впровадити здійснення оголошення про інцидент, коли несприятливі події відповідають визначеним критеріям інциденту.</t>
  </si>
  <si>
    <t>RS.MA-01</t>
  </si>
  <si>
    <t>RS.RP-1</t>
  </si>
  <si>
    <t>The incident response plan is executed in coordination with relevant third parties once an incident is declared</t>
  </si>
  <si>
    <t>впровадити виконання планів реагування на інцидент в координації з відповідними третіми сторонами одразу після оголошення інциденту.</t>
  </si>
  <si>
    <t>RS.MA-02</t>
  </si>
  <si>
    <t>RS.AN-1</t>
  </si>
  <si>
    <t>Incident reports are triaged and validated</t>
  </si>
  <si>
    <t>впровадити здійснення сортування звітів про інциденти після їх підтвердження.</t>
  </si>
  <si>
    <t>RS.MA-03</t>
  </si>
  <si>
    <t>RS.AN-4</t>
  </si>
  <si>
    <t>Incidents are categorized and prioritized</t>
  </si>
  <si>
    <t>впровадити класифікацію та пріоритизацію інцидентів.</t>
  </si>
  <si>
    <t>RS.MA-04</t>
  </si>
  <si>
    <t>RS.AN-2</t>
  </si>
  <si>
    <t>Incidents are escalated or elevated as needed</t>
  </si>
  <si>
    <t>впровадити інформування та підвищення рівнів критичності інцидентів (за потреби).</t>
  </si>
  <si>
    <t>RS.MA-05</t>
  </si>
  <si>
    <t>The criteria for initiating incident recovery are applied</t>
  </si>
  <si>
    <t>впровадити застосування критеріїв для ініціювання відновлення після інциденту.</t>
  </si>
  <si>
    <t>RS.AN-03</t>
  </si>
  <si>
    <t>RS.AN-3</t>
  </si>
  <si>
    <t>Analysis is performed to establish what has taken place during an incident and the root cause of the incident</t>
  </si>
  <si>
    <t>запровадити проведення аналізу для встановлення того, що відбулося під час інциденту та які джерела виникнення інциденту.</t>
  </si>
  <si>
    <t>RS.AN-06</t>
  </si>
  <si>
    <t>Actions performed during an investigation are recorded, and the records' integrity and provenance are preserved</t>
  </si>
  <si>
    <t>запровадити здійснення запису дій, які виконуються під час розслідування інциденту, та забезпечити цілісність та збереження таких записів.</t>
  </si>
  <si>
    <t>RS.AN-07</t>
  </si>
  <si>
    <t>Incident data and metadata are collected, and their integrity and provenance are preserved</t>
  </si>
  <si>
    <t>запровадити здійснення збору та забезпечити цілісність та збереження даних про інциденти та метаданих.</t>
  </si>
  <si>
    <t>RS.AN-08</t>
  </si>
  <si>
    <t>An incident's magnitude is estimated and validated</t>
  </si>
  <si>
    <t>запровадити оцінювання масштабу інциденту та документально його підтверджувати.</t>
  </si>
  <si>
    <t>RS.CO-02</t>
  </si>
  <si>
    <t>RS.CO-2</t>
  </si>
  <si>
    <t>Internal and external stakeholders are notified of incidents</t>
  </si>
  <si>
    <t>запровадити сповіщення внутрішніх та зовнішніх заінтересованих сторін про інциденти.</t>
  </si>
  <si>
    <t>RS.CO-03</t>
  </si>
  <si>
    <t>RS.CO-3</t>
  </si>
  <si>
    <t>Information is shared with designated internal and external stakeholders</t>
  </si>
  <si>
    <t>запровадити надання інформації визначеним внутрішнім і зовнішнім заінтересованим сторонам.</t>
  </si>
  <si>
    <t>RS.MI-01</t>
  </si>
  <si>
    <t>RS.MI-1</t>
  </si>
  <si>
    <t>Incidents are contained</t>
  </si>
  <si>
    <t>забезпечити локалізацію інцидентів.</t>
  </si>
  <si>
    <t>RS.MI-02</t>
  </si>
  <si>
    <t>RS.MI-2</t>
  </si>
  <si>
    <t>Incidents are eradicated</t>
  </si>
  <si>
    <t>забезпечити ліквідацію інцидентів.</t>
  </si>
  <si>
    <t>RC.RP-01</t>
  </si>
  <si>
    <t>RC.RP-1</t>
  </si>
  <si>
    <t>The recovery portion of the incident response plan is executed once initiated from the incident response process</t>
  </si>
  <si>
    <t>забезпечити виконання передбачених планом реагування на інцидент частини заходів щодо відновлення одразу після їх ініціалізації в ході реагування на інцидент.</t>
  </si>
  <si>
    <t>RC.RP-02</t>
  </si>
  <si>
    <t>Recovery actions are selected, scoped, prioritized, and performed</t>
  </si>
  <si>
    <t>забезпечити відбір, визначення обсягу, пріоритетність та виконання заходів з відновлення.</t>
  </si>
  <si>
    <t>RC.RP-03</t>
  </si>
  <si>
    <t>The integrity of backups and other restoration assets is verified before using them for restoration</t>
  </si>
  <si>
    <t>переконатися у цілісності резервних копій та інших ресурсів, які підлягають відновленню, перед їх використанням для відновлення.</t>
  </si>
  <si>
    <t>RC.RP-04</t>
  </si>
  <si>
    <t>Critical mission functions and cybersecurity risk management are considered to establish post-incident operational norms</t>
  </si>
  <si>
    <t>переглянути критичні для місії організації функції для встановлення операційних норм після інцидентів.</t>
  </si>
  <si>
    <t>RC.RP-05</t>
  </si>
  <si>
    <t>The integrity of restored assets is verified, systems and services are restored, and normal operating status is confirmed</t>
  </si>
  <si>
    <t>переконатися в цілісності відновлених активів, відновленні систем та служб і підтвердити їх робочий стан.</t>
  </si>
  <si>
    <t>RC.RP-06</t>
  </si>
  <si>
    <t>The end of incident recovery is declared based on criteria, and incident-related documentation is completed</t>
  </si>
  <si>
    <t>задекларувати завершення відновлення після інциденту, підтвердження критеріїв та пов’язаної з інцидентом документації.</t>
  </si>
  <si>
    <t>RC.CO-03</t>
  </si>
  <si>
    <t>RC.CO-3</t>
  </si>
  <si>
    <t>Recovery activities and progress in restoring operational capabilities are communicated to designated internal and external stakeholders</t>
  </si>
  <si>
    <t>забезпечити інформування визначених внутрішніх і зовнішніх заінтересованих сторін про заходи з відновлення та прогрес у відновленні операційних спроможностей.</t>
  </si>
  <si>
    <t>RC.CO-04</t>
  </si>
  <si>
    <t>RC.CO-1</t>
  </si>
  <si>
    <t>Public updates on incident recovery are shared using approved methods and messaging</t>
  </si>
  <si>
    <t>запровадити інформування суспільства про відновлення після інциденту, використовуючи затверджені методи та повідомлення.</t>
  </si>
  <si>
    <t>Maintenance Policy</t>
  </si>
  <si>
    <t>Remote Access Standard</t>
  </si>
  <si>
    <t>Information Security Policy</t>
  </si>
  <si>
    <t>Identification and Authentication Policy</t>
  </si>
  <si>
    <t>Configuration Management Policy</t>
  </si>
  <si>
    <t>Sanitization Secure Disposal Standard</t>
  </si>
  <si>
    <t>System and Information Integrity Policy</t>
  </si>
  <si>
    <t>IR-04</t>
  </si>
  <si>
    <t>CP-02</t>
  </si>
  <si>
    <t>SR-08</t>
  </si>
  <si>
    <t>IR-06</t>
  </si>
  <si>
    <t>Restoration activities are coordinated with internal and external parties</t>
  </si>
  <si>
    <t>RC.CO</t>
  </si>
  <si>
    <t>IR-08</t>
  </si>
  <si>
    <t>CP-10</t>
  </si>
  <si>
    <t>IR-01</t>
  </si>
  <si>
    <t>PM-11</t>
  </si>
  <si>
    <t>PM-09</t>
  </si>
  <si>
    <t>PM-08</t>
  </si>
  <si>
    <t>CP-09</t>
  </si>
  <si>
    <t>CP-04</t>
  </si>
  <si>
    <t>Restoration activities are performed to ensure operational availability of systems and services affected by cybersecurity incidents</t>
  </si>
  <si>
    <t>RC.RP</t>
  </si>
  <si>
    <t xml:space="preserve">CP-04
</t>
  </si>
  <si>
    <t>Assets and operations affected by a cybersecurity incident are restored</t>
  </si>
  <si>
    <t>RC</t>
  </si>
  <si>
    <t>Activities are performed to prevent expansion of an event and mitigate its effects</t>
  </si>
  <si>
    <t>RS.MI</t>
  </si>
  <si>
    <t>SR-03</t>
  </si>
  <si>
    <t>IR-07</t>
  </si>
  <si>
    <t>Response activities are coordinated with internal and external stakeholders as required by laws, regulations, or policies</t>
  </si>
  <si>
    <t>RS.CO</t>
  </si>
  <si>
    <t>RA-07</t>
  </si>
  <si>
    <t>RA-03</t>
  </si>
  <si>
    <t>AU-07</t>
  </si>
  <si>
    <t>Investigations are conducted to ensure effective response and support forensics and recovery activities</t>
  </si>
  <si>
    <t>RS.AN</t>
  </si>
  <si>
    <t>IR-05</t>
  </si>
  <si>
    <t>IR-09</t>
  </si>
  <si>
    <t>Responses to detected cybersecurity incidents are managed</t>
  </si>
  <si>
    <t>RS.MA</t>
  </si>
  <si>
    <t>Actions regarding a detected cybersecurity incident are taken</t>
  </si>
  <si>
    <t>RS</t>
  </si>
  <si>
    <t xml:space="preserve">IR-04
</t>
  </si>
  <si>
    <t>RA-10</t>
  </si>
  <si>
    <t xml:space="preserve">PM-16
</t>
  </si>
  <si>
    <t>RA-04</t>
  </si>
  <si>
    <t>PM-16</t>
  </si>
  <si>
    <t>PM-15</t>
  </si>
  <si>
    <t>PM-30</t>
  </si>
  <si>
    <t>PM-28</t>
  </si>
  <si>
    <t>PM-18</t>
  </si>
  <si>
    <t>SI-04</t>
  </si>
  <si>
    <t>CA-07</t>
  </si>
  <si>
    <t>AU-06</t>
  </si>
  <si>
    <t>Anomalies, indicators of compromise, and other potentially adverse events are analyzed to characterize the events and detect cybersecurity incidents</t>
  </si>
  <si>
    <t>DE.AE</t>
  </si>
  <si>
    <t>SI-07</t>
  </si>
  <si>
    <t>SC-35</t>
  </si>
  <si>
    <t>SC-34</t>
  </si>
  <si>
    <t>CM-11</t>
  </si>
  <si>
    <t>CM-10</t>
  </si>
  <si>
    <t>CM-06</t>
  </si>
  <si>
    <t>CM-03</t>
  </si>
  <si>
    <t>AU-12</t>
  </si>
  <si>
    <t>AC-09</t>
  </si>
  <si>
    <t>AC-04</t>
  </si>
  <si>
    <t>SA-09</t>
  </si>
  <si>
    <t>SA-04</t>
  </si>
  <si>
    <t>PS-07</t>
  </si>
  <si>
    <t>AU-13</t>
  </si>
  <si>
    <t>AC-02</t>
  </si>
  <si>
    <t>PE-20</t>
  </si>
  <si>
    <t>PE-06</t>
  </si>
  <si>
    <t>PE-03</t>
  </si>
  <si>
    <t>SC-07</t>
  </si>
  <si>
    <t>SC-05</t>
  </si>
  <si>
    <t>Assets are monitored to find anomalies, indicators of compromise, and other potentially adverse events</t>
  </si>
  <si>
    <t>DE.CM</t>
  </si>
  <si>
    <t>Possible cybersecurity attacks and compromises are found and analyzed</t>
  </si>
  <si>
    <t>DE</t>
  </si>
  <si>
    <t>PM-03</t>
  </si>
  <si>
    <t>CP-08</t>
  </si>
  <si>
    <t>CP-07</t>
  </si>
  <si>
    <t xml:space="preserve">CP-06
</t>
  </si>
  <si>
    <t>SI-13</t>
  </si>
  <si>
    <t>SC-39</t>
  </si>
  <si>
    <t>SC-36</t>
  </si>
  <si>
    <t>SC-24</t>
  </si>
  <si>
    <t>SC-06</t>
  </si>
  <si>
    <t>SA-08</t>
  </si>
  <si>
    <t>IR</t>
  </si>
  <si>
    <t>CP</t>
  </si>
  <si>
    <t>PE-23</t>
  </si>
  <si>
    <t>PE-18</t>
  </si>
  <si>
    <t>PE-15</t>
  </si>
  <si>
    <t>PE-14</t>
  </si>
  <si>
    <t>PE-13</t>
  </si>
  <si>
    <t>PE-12</t>
  </si>
  <si>
    <t>PE-11</t>
  </si>
  <si>
    <t>PE-10</t>
  </si>
  <si>
    <t>PE-09</t>
  </si>
  <si>
    <t>SC-04</t>
  </si>
  <si>
    <t>AC-03</t>
  </si>
  <si>
    <t>Security architectures are managed with the organization's risk strategy to protect asset confidentiality, integrity, and availability, and organizational resilience</t>
  </si>
  <si>
    <t>PR.IR</t>
  </si>
  <si>
    <t>SA-17</t>
  </si>
  <si>
    <t>SA-15</t>
  </si>
  <si>
    <t>SA-11</t>
  </si>
  <si>
    <t>SA-10</t>
  </si>
  <si>
    <t>SA-03</t>
  </si>
  <si>
    <t>CM-07(05)</t>
  </si>
  <si>
    <t>CM-07(04)</t>
  </si>
  <si>
    <t>CM-07(02)</t>
  </si>
  <si>
    <t>AU-11</t>
  </si>
  <si>
    <t>AU-03</t>
  </si>
  <si>
    <t xml:space="preserve">AU-02
</t>
  </si>
  <si>
    <t>SC-51</t>
  </si>
  <si>
    <t>SC-49</t>
  </si>
  <si>
    <t>SC-39(01)</t>
  </si>
  <si>
    <t>SC-03(01)</t>
  </si>
  <si>
    <t>SA-10(03)</t>
  </si>
  <si>
    <t>CM-07(09)</t>
  </si>
  <si>
    <t>SI-02</t>
  </si>
  <si>
    <t>SA-10(01)</t>
  </si>
  <si>
    <t>MA-03(06)</t>
  </si>
  <si>
    <t>CM-09</t>
  </si>
  <si>
    <t>CM-08</t>
  </si>
  <si>
    <t>CM-07</t>
  </si>
  <si>
    <t>CM-05</t>
  </si>
  <si>
    <t>CM-04</t>
  </si>
  <si>
    <t>CM-02</t>
  </si>
  <si>
    <t>CM-01</t>
  </si>
  <si>
    <t>The hardware, software (e.g., firmware, operating systems, applications), and services of physical and virtual platforms are managed consistent with the organization's risk strategy to protect their confidentiality, integrity, and availability</t>
  </si>
  <si>
    <t>PR.PS</t>
  </si>
  <si>
    <t>SI-16</t>
  </si>
  <si>
    <t>SI-10</t>
  </si>
  <si>
    <t>SI-03</t>
  </si>
  <si>
    <t>SC-43</t>
  </si>
  <si>
    <t>SC-40</t>
  </si>
  <si>
    <t>SC-32</t>
  </si>
  <si>
    <t>SC-13</t>
  </si>
  <si>
    <t>SC-11</t>
  </si>
  <si>
    <t>CA-03</t>
  </si>
  <si>
    <t>AU-09</t>
  </si>
  <si>
    <t>SC-16</t>
  </si>
  <si>
    <t>SC-12</t>
  </si>
  <si>
    <t>SC-08</t>
  </si>
  <si>
    <t>AU-16</t>
  </si>
  <si>
    <t>SC-28</t>
  </si>
  <si>
    <t>MP-08</t>
  </si>
  <si>
    <t>Data are managed consistent with the organization's risk strategy to protect the confidentiality, integrity, and availability of information</t>
  </si>
  <si>
    <t>PR.DS</t>
  </si>
  <si>
    <t>AT-03</t>
  </si>
  <si>
    <t xml:space="preserve">AT-02
</t>
  </si>
  <si>
    <t>The organization's personnel are provided with cybersecurity awareness and training so that they can perform their cybersecurity-related tasks</t>
  </si>
  <si>
    <t>PR.AT</t>
  </si>
  <si>
    <t>PE-19</t>
  </si>
  <si>
    <t>PE-08</t>
  </si>
  <si>
    <t>PE-05</t>
  </si>
  <si>
    <t>PE-04</t>
  </si>
  <si>
    <t>PE-02</t>
  </si>
  <si>
    <t>IA-13</t>
  </si>
  <si>
    <t>AC-24</t>
  </si>
  <si>
    <t>AC-19</t>
  </si>
  <si>
    <t>AC-18</t>
  </si>
  <si>
    <t>AC-17</t>
  </si>
  <si>
    <t>AC-16</t>
  </si>
  <si>
    <t>AC-10</t>
  </si>
  <si>
    <t>AC-06</t>
  </si>
  <si>
    <t>AC-05</t>
  </si>
  <si>
    <t>AC-01</t>
  </si>
  <si>
    <t>IA-11</t>
  </si>
  <si>
    <t>IA-10</t>
  </si>
  <si>
    <t>IA-09</t>
  </si>
  <si>
    <t>IA-08</t>
  </si>
  <si>
    <t>IA-07</t>
  </si>
  <si>
    <t>IA-05</t>
  </si>
  <si>
    <t>IA-03</t>
  </si>
  <si>
    <t>IA-02</t>
  </si>
  <si>
    <t>AC-12</t>
  </si>
  <si>
    <t xml:space="preserve">AC-07
</t>
  </si>
  <si>
    <t>IA-12</t>
  </si>
  <si>
    <t>IA-06</t>
  </si>
  <si>
    <t>IA-04</t>
  </si>
  <si>
    <t>IA-01</t>
  </si>
  <si>
    <t>AC-14</t>
  </si>
  <si>
    <t xml:space="preserve">AC-01
</t>
  </si>
  <si>
    <t>Access to physical and logical assets is limited to authorized users, services, and hardware and  managed commensurate with the assessed risk of unauthorized access</t>
  </si>
  <si>
    <t>PR.AA</t>
  </si>
  <si>
    <t>Safeguards to manage the organization's cybersecurity risks are used</t>
  </si>
  <si>
    <t>PR</t>
  </si>
  <si>
    <t>SR-02</t>
  </si>
  <si>
    <t>PL-02</t>
  </si>
  <si>
    <t xml:space="preserve">CP-02
</t>
  </si>
  <si>
    <t>SR-05</t>
  </si>
  <si>
    <t>RA-05</t>
  </si>
  <si>
    <t>PM-31</t>
  </si>
  <si>
    <t>PM-04</t>
  </si>
  <si>
    <t>CA-08</t>
  </si>
  <si>
    <t>CA-05</t>
  </si>
  <si>
    <t>CA-02</t>
  </si>
  <si>
    <t>SR-01</t>
  </si>
  <si>
    <t>SI-01</t>
  </si>
  <si>
    <t>SC-01</t>
  </si>
  <si>
    <t>SA-01</t>
  </si>
  <si>
    <t>RA-01</t>
  </si>
  <si>
    <t>PT-01</t>
  </si>
  <si>
    <t>PS-01</t>
  </si>
  <si>
    <t>PM-01</t>
  </si>
  <si>
    <t>PL-01</t>
  </si>
  <si>
    <t>PE-01</t>
  </si>
  <si>
    <t>MP-01</t>
  </si>
  <si>
    <t>MA-01</t>
  </si>
  <si>
    <t>CP-01</t>
  </si>
  <si>
    <t>CA-01</t>
  </si>
  <si>
    <t>AU-01</t>
  </si>
  <si>
    <t>AT-01</t>
  </si>
  <si>
    <t>IR-03</t>
  </si>
  <si>
    <t>SA-17(06)</t>
  </si>
  <si>
    <t>Improvements to organizational cybersecurity risk management processes, procedures and activities are identified across all CSF Functions</t>
  </si>
  <si>
    <t>ID.IM</t>
  </si>
  <si>
    <t>SR-06</t>
  </si>
  <si>
    <t>SR-11</t>
  </si>
  <si>
    <t>SR-10</t>
  </si>
  <si>
    <t>SA-05</t>
  </si>
  <si>
    <t xml:space="preserve">CA-07
</t>
  </si>
  <si>
    <t xml:space="preserve">PM-09
</t>
  </si>
  <si>
    <t>RA-02</t>
  </si>
  <si>
    <t>RA-09</t>
  </si>
  <si>
    <t>RA-08</t>
  </si>
  <si>
    <t>SI-05</t>
  </si>
  <si>
    <t xml:space="preserve">PM-12
</t>
  </si>
  <si>
    <t xml:space="preserve">SI-05
</t>
  </si>
  <si>
    <t>SA-15(08)</t>
  </si>
  <si>
    <t>SA-15(07)</t>
  </si>
  <si>
    <t>SA-11(02)</t>
  </si>
  <si>
    <t>The cybersecurity risk to the organization, assets, and individuals is understood by the organization</t>
  </si>
  <si>
    <t>ID.RA</t>
  </si>
  <si>
    <t>SR-12</t>
  </si>
  <si>
    <t>SI-18</t>
  </si>
  <si>
    <t>SI-12</t>
  </si>
  <si>
    <t>SA-22</t>
  </si>
  <si>
    <t>PM-23</t>
  </si>
  <si>
    <t>PM-22</t>
  </si>
  <si>
    <t>MA-06</t>
  </si>
  <si>
    <t>MA-02</t>
  </si>
  <si>
    <t>CM-13</t>
  </si>
  <si>
    <t xml:space="preserve">CM-12
</t>
  </si>
  <si>
    <t xml:space="preserve">RA-03
</t>
  </si>
  <si>
    <t xml:space="preserve">AC-20
</t>
  </si>
  <si>
    <t>PM-07</t>
  </si>
  <si>
    <t>PL-08</t>
  </si>
  <si>
    <t>CA-09</t>
  </si>
  <si>
    <t xml:space="preserve">AC-04
</t>
  </si>
  <si>
    <t>PM-05</t>
  </si>
  <si>
    <t xml:space="preserve">AC-20
</t>
  </si>
  <si>
    <t xml:space="preserve">CM-08
</t>
  </si>
  <si>
    <t>Assets (e.g., data, hardware, software, systems, facilities, services, people) that enable the organization to achieve business purposes are identified and managed consistent with their relative importance to organizational objectives and the organization's risk strategy</t>
  </si>
  <si>
    <t>ID.AM</t>
  </si>
  <si>
    <t>The organization's current cybersecurity risks are understood</t>
  </si>
  <si>
    <t>ID</t>
  </si>
  <si>
    <t xml:space="preserve">PM-31
</t>
  </si>
  <si>
    <t>PM-19</t>
  </si>
  <si>
    <t xml:space="preserve">SA-04
</t>
  </si>
  <si>
    <t xml:space="preserve">RA-09
</t>
  </si>
  <si>
    <t xml:space="preserve">SR-02
</t>
  </si>
  <si>
    <t xml:space="preserve">PM-30
</t>
  </si>
  <si>
    <t>Cyber supply chain risk management processes are identified, established, managed, monitored, and improved by organizational stakeholders</t>
  </si>
  <si>
    <t>GV.SC</t>
  </si>
  <si>
    <t>PM-06</t>
  </si>
  <si>
    <t>Results of organization-wide cybersecurity risk management activities and performance are used to inform, improve, and adjust the risk management strategy</t>
  </si>
  <si>
    <t>GV.OV</t>
  </si>
  <si>
    <t>Organizational cybersecurity policy is established, communicated, and enforced</t>
  </si>
  <si>
    <t>GV.PO</t>
  </si>
  <si>
    <t>PS-09</t>
  </si>
  <si>
    <t xml:space="preserve">PM-13
</t>
  </si>
  <si>
    <t>PM-29</t>
  </si>
  <si>
    <t>PM-24</t>
  </si>
  <si>
    <t>PM-13</t>
  </si>
  <si>
    <t xml:space="preserve">PM-02
</t>
  </si>
  <si>
    <t>Cybersecurity roles, responsibilities, and authorities to foster accountability, performance assessment, and continuous improvement are established and communicated</t>
  </si>
  <si>
    <t>GV.RR</t>
  </si>
  <si>
    <t xml:space="preserve">PM-03
</t>
  </si>
  <si>
    <t>The organization's priorities, constraints, risk tolerance and appetite statements, and assumptions are established, communicated, and used to support operational risk decisions</t>
  </si>
  <si>
    <t>GV.RM</t>
  </si>
  <si>
    <t xml:space="preserve">PM-11
</t>
  </si>
  <si>
    <t>PM-30(01)</t>
  </si>
  <si>
    <t>CP-02(08)</t>
  </si>
  <si>
    <t>PT</t>
  </si>
  <si>
    <t>The circumstances - mission, stakeholder expectations, dependencies, and legal, regulatory, and contractual requirements - surrounding the organization's cybersecurity risk management decisions are understood</t>
  </si>
  <si>
    <t>GV.OC</t>
  </si>
  <si>
    <t>The organization's cybersecurity risk management strategy, expectations, and policy are established, communicated, and monitored</t>
  </si>
  <si>
    <t>GV</t>
  </si>
  <si>
    <t>Strength of
Relationship
(Optional)</t>
  </si>
  <si>
    <t>Comments
(Optional)</t>
  </si>
  <si>
    <t>Reference Document
Element Description
(Optional)</t>
  </si>
  <si>
    <t>Reference Document
Element</t>
  </si>
  <si>
    <t>Focal Document Element Description</t>
  </si>
  <si>
    <t>Focal Document
Element</t>
  </si>
  <si>
    <t>https://csrc.nist.gov/files/pubs/sp/800/53/r5/upd1/final/docs/csf-pf-to-sp800-53r5-mappings.xlsx</t>
  </si>
  <si>
    <t>Джерело:</t>
  </si>
  <si>
    <t>Identification and Authentication Policy
Security Assessment and Authorization Policy 
Systems and Services Acquisition Policy</t>
  </si>
  <si>
    <t>Computer Security Threat Response Policy
Cyber Incident Response Standard
Incident Response Policy</t>
  </si>
  <si>
    <t>System and Communications Protection Policy 
Information Classification Standard
Information Security Policy</t>
  </si>
  <si>
    <t>Information Security Policy
Information Security Risk Management 
Standard Risk Assessment Policy</t>
  </si>
  <si>
    <t>Information Security Policy 
Information Security Risk Management
Standard Risk Assessment Policy</t>
  </si>
  <si>
    <t>Identification and Authentication Policy
Security Assessment and Authorization Policy
Systems and Services Acquisition Policy</t>
  </si>
  <si>
    <t>Information Security Policy
Information Security Risk Management
Standard Risk Assessment Policy</t>
  </si>
  <si>
    <t>Acceptable Use of Information Technology Resource Policy
Information Security Policy
Security Awareness and Training Policy</t>
  </si>
  <si>
    <t>Acceptable Use of Information Technology Resource Policy 
Information Security Policy
Security Awareness and Training Policy</t>
  </si>
  <si>
    <t>Information Security Policy
Personnel Security Policy
Physical and Environmental Protection Policy 
Security Awareness and Training Policy</t>
  </si>
  <si>
    <t>Personnel Security Policy
Physical and Environmental Protection Policy 
Security Awareness and Training Policy</t>
  </si>
  <si>
    <t>Computer Security Threat Response Policy 
Cyber Incident Response Standard
Incident Response Policy
Systems and Services Acquisition Policy</t>
  </si>
  <si>
    <t>Auditing and Accountability Standard
Security Logging Standard
System and Information Integrity Policy 
Vulnerability Scanning Standard</t>
  </si>
  <si>
    <t>Encryption Standard
Information Security Policy
Maintenance Policy
Media Protection Policy
Mobile Device Security 
Security Assessment and Authorization Policy 
Vulnerability Scanning Standard
Patch Management Standard</t>
  </si>
  <si>
    <t>Computer Security Threat Response Policy 
Cyber Incident Response Standard
Incident Response Policy
Information Security Policy</t>
  </si>
  <si>
    <t>Computer Security Threat Response Policy 
Cyber Incident Response Standard
Incident Response Policy
Planning Policy</t>
  </si>
  <si>
    <t>Computer Security Threat Response Policy 
Cyber Incident Response Standard
Incident Response Policy</t>
  </si>
  <si>
    <t>Computer Security Threat Response Policy
Cyber Incident Response Standard
Incident Response Policy
Contingency Planning Policy</t>
  </si>
  <si>
    <t>Computer Security Threat Response Policy 
Cyber Incident Response Standard
Incident Response Policy
Contingency Planning Policy</t>
  </si>
  <si>
    <t>Computer Security Threat Response Policy
Cyber Incident Response Standard
Incident Response Policy
Systems and Services Acquisition Policy
Contingency Planning Policy</t>
  </si>
  <si>
    <t>Access Control Policy
Account Management/Access Control Standard 
Configuration Management Policy
Identification and Authentication Policy
Sanitization Secure Disposal Standard
Secure Configuration Standard
Secure System Development Life Cycle Standard</t>
  </si>
  <si>
    <t>Access Control Policy
Account Management/Access Control Standard 
Authentication Tokens Standard
Configuration Management Policy
Identification and Authentication Policy</t>
  </si>
  <si>
    <t>Computer Security Threat Response Policy
Contingency Planning Policy
Cyber Incident Response Standard
Incident Response Policy</t>
  </si>
  <si>
    <t>Computer Security Threat Response Policy
Cyber Incident Response Standard 
Incident Response Policy
Contingency Planning Policy</t>
  </si>
  <si>
    <t>Computer Security Threat Response Policy
Cyber Incident Response Standard 
Incident Response Policy</t>
  </si>
  <si>
    <t>Auditing and Accountability Standard
Security Logging Standard
System and Information Integrity Policy</t>
  </si>
  <si>
    <t>Maintenance Policy
Auditing and Accountability Standard
Security Logging Standard
System and Information Integrity Policy 
Vulnerability Scanning Standard</t>
  </si>
  <si>
    <t>Computer Security Threat Response Policy 
Cyber Incident Response Standard
Incident Response Policy
Information Security Policy
System and Information Integrity Policy
Vulnerability Scanning Standard</t>
  </si>
  <si>
    <t>Auditing and Accountability Standard
System and Information Integrity Policy</t>
  </si>
  <si>
    <t>Auditing and Accountability Standard
Secure Coding Standard
Security Logging Standard
System and Information Integrity Policy 
Vulnerability Scanning Standard</t>
  </si>
  <si>
    <t>Secure System Development Life Cycle Standard 
System and Information Integrity Policy
802.11 Wireless Network Security Standard</t>
  </si>
  <si>
    <t>Secure Configuration Standard
Secure System Development Life Cycle Standard 
Sanitization Secure Disposal Standard
Maintenance Policy</t>
  </si>
  <si>
    <t>Remote Access Standard
Mobile Device Security
Encryption Standard
Media Protection Policy
System and Communications Protection Policy</t>
  </si>
  <si>
    <t>Configuration Management Policy 
Secure Configuration Standard</t>
  </si>
  <si>
    <t>Sanitization Secure Disposal Standard 
Access Control Policy</t>
  </si>
  <si>
    <t>Maintenance Policy
Media Protection Policy</t>
  </si>
  <si>
    <t xml:space="preserve">Sanitization Secure Disposal Standard
Secure Configuration Standard
Secure System Development Life Cycle Standard 
Maintenance Policy
Media Protection Policy
Mobile Device Security </t>
  </si>
  <si>
    <t>Computer Security Threat Response Policy 
Cyber Incident Response Standard
Encryption Standard
Incident Response Policy
Information Security Policy
Maintenance Policy
Media Protection Policy
Mobile Device Security 
Patch Management Standard</t>
  </si>
  <si>
    <t>Information Security Policy
Personnel Security Policy
Physical and Environmental Protection Policy 
Security Awareness and Training Policy
Acceptable Use of Information Technology Resource Policy</t>
  </si>
  <si>
    <t>Information Security Policy
Personnel Security Policy
Physical and Environmental Protection Policy 
Security Awareness and Training Policy
Access Control Policy
Account Management/Access Control Standard
Authentication Tokens Standard
Configuration Management Policy
Identification and Authentication Policy
Acceptable Use of Information Technology Resource Policy</t>
  </si>
  <si>
    <t>Encryption Standard
Information Security Policy
Maintenance Policy
Media Protection Policy
Mobile Device Security 
System and Communications Protection Policy</t>
  </si>
  <si>
    <t>CIS NIST CSF Policy Template Guide</t>
  </si>
  <si>
    <t xml:space="preserve">Low </t>
  </si>
  <si>
    <t xml:space="preserve">Medium </t>
  </si>
  <si>
    <t xml:space="preserve">High </t>
  </si>
  <si>
    <t>Column1</t>
  </si>
  <si>
    <t>Column2</t>
  </si>
  <si>
    <t>PM-08, PM-11, CP-02(08), PM-30(01), RA-09</t>
  </si>
  <si>
    <t>PM-09, PM-19, PM-30, PM-31, RA-07, SR-06</t>
  </si>
  <si>
    <t>PM-04, PM-06, RA-07, SR-06</t>
  </si>
  <si>
    <t>CM-09, CM-13, MA-02, MA-06, PL-02, PM-22, PM-23, SA-03, SA-04, SA-08, SA-22, SI-12, SI-18, SR-05, SR-12</t>
  </si>
  <si>
    <t>CA-02, CA-07, CA-08, RA-03, RA-05, SA-11(02), SA-15(07), SA-15(08), SI-04, SI-05</t>
  </si>
  <si>
    <t>SA-04, SA-05, SA-10, SA-11, SA-15, SA-17, SI-07, SR-05, SR-06, SR-10, SR-11</t>
  </si>
  <si>
    <t>AC-01, AC-02, AC-03, AC-05, AC-06, AC-10, AC-16, AC-17, AC-18, AC-19, AC-24, IA-13</t>
  </si>
  <si>
    <t>PE-02, PE-03, PE-04, PE-05, PE-06, PE-08, PE-18, PE-19, PE-20</t>
  </si>
  <si>
    <t>CA-03, CP-09, MP-08, SC-04, SC-07, SC-12, SC-13, SC-28, SC-32, SC-39, SC-43, SI-03, SI-04, SI-07</t>
  </si>
  <si>
    <t>AU-16, CA-03, SC-04, SC-07, SC-08, SC-11, SC-12, SC-13, SC-16, SC-40, SC-43, SI-03, SI-04, SI-07</t>
  </si>
  <si>
    <t>AC-02, AC-03, AC-04, AU-09, AU-13, CA-03, CP-09, SA-08, SC-04, SC-07, SC-11, SC-13, SC-24, SC-32, SC-39, SC-40, SC-43, SI-03, SI-04, SI-07, SI-10, SI-16</t>
  </si>
  <si>
    <t>CM-01, CM-02, CM-03, CM-04, CM-05, CM-06, CM-07, CM-08, CM-09, CM-10, CM-11</t>
  </si>
  <si>
    <t>CM-11, MA-03(06), SA-10(01), SI-02, SI-07</t>
  </si>
  <si>
    <t>CM-07(09), SA-10(03), SC-03(01), SC-39(01), SC-49, SC-51</t>
  </si>
  <si>
    <t>CM-07(02), CM-07(04), CM-07(05), SC-34</t>
  </si>
  <si>
    <t>SA-03, SA-08, SA-10, SA-11, SA-15, SA-17</t>
  </si>
  <si>
    <t>AC-03, AC-04, SC-04, SC-05, SC-07</t>
  </si>
  <si>
    <t>CP-02, PE-09, PE-10, PE-11, PE-12, PE-13, PE-14, PE-15, PE-18, PE-23</t>
  </si>
  <si>
    <t>CP, IR, SA-08, SC-06, SC-24, SC-36, SC-39, SI-13</t>
  </si>
  <si>
    <t>AC-02, AU-12, CA-07, CM-03, SC-05, SC-07, SI-04</t>
  </si>
  <si>
    <t>CA-07, PE-03, PE-06, PE-20</t>
  </si>
  <si>
    <t>AC-02, AU-12, AU-13, CA-07, CM-10, CM-11</t>
  </si>
  <si>
    <t>CA-07, PS-07, SA-04, SA-09, SI-04</t>
  </si>
  <si>
    <t>AC-04, AC-09, AU-12, CA-07, CM-03, CM-06, CM-10, CM-11, SC-34, SC-35, SI-04, SI-07</t>
  </si>
  <si>
    <t>AU-06, CA-07, IR-04, SI-04</t>
  </si>
  <si>
    <t>AU-06, CA-07, PM-16, IR-04, IR-05, IR-08, SI-04</t>
  </si>
  <si>
    <t>PM-09, PM-11, PM-18, PM-28, PM-30</t>
  </si>
  <si>
    <t>IR-04, PM-15, PM-16, RA-04, RA-10</t>
  </si>
  <si>
    <t>IR-06, IR-07, IR-08, SR-03, SR-08</t>
  </si>
  <si>
    <t>IR-04, IR-05, IR-06</t>
  </si>
  <si>
    <t>IR-04, IR-05, IR-06, IR-07</t>
  </si>
  <si>
    <t>IR-04, IR-08</t>
  </si>
  <si>
    <t>AU-07, IR-04</t>
  </si>
  <si>
    <t>AU-07, IR-04, IR-06</t>
  </si>
  <si>
    <t>IR-04, IR-08, RA-03, RA-07</t>
  </si>
  <si>
    <t>IR-04, IR-06, IR-07, SR-03, SR-08</t>
  </si>
  <si>
    <t>CP-10, IR-04, IR-08</t>
  </si>
  <si>
    <t>CP-02, CP-04, CP-09</t>
  </si>
  <si>
    <t>PM-08, PM-09, PM-11, IR-01, IR-08</t>
  </si>
  <si>
    <t>IR-04, IR-06, SR-08</t>
  </si>
  <si>
    <t>CP-02, IR-04</t>
  </si>
  <si>
    <t>NIST SP 800-53v.5</t>
  </si>
  <si>
    <t>PM-09, PM-18, PM-30, SR-03, SR-05, SR-06, SR-08</t>
  </si>
  <si>
    <t>AC-01, AT-01, AU-01, CA-01, CM-01, CP-01, IA-01, IR-01, MA-01, MP-01, PE-01, PL-01, PM-01, PS-01, PT-01, RA-01, SA-01, SC-01, SI-01, SR-01, PM-28, PT</t>
  </si>
  <si>
    <t>PM-11, PM-30, RA-07, SA-09, SR-05</t>
  </si>
  <si>
    <t>PM-09, RA-07, SR-02</t>
  </si>
  <si>
    <t>PM-03, PM-09, PM-30, RA-07, SR-02</t>
  </si>
  <si>
    <t>PM-09, PM-28, PM-30, SR-02</t>
  </si>
  <si>
    <t>PM-09, PM-30</t>
  </si>
  <si>
    <t>PM-09, PM-18, PM-28, PM-30, RA-03</t>
  </si>
  <si>
    <t>PM-02, PM-19, PM-23, PM-24, PM-29</t>
  </si>
  <si>
    <t>PM-02, PM-13, PM-19, PM-23, PM-24, PM-29</t>
  </si>
  <si>
    <t>PM-13, PS-01, PS-07, PS-09</t>
  </si>
  <si>
    <t>AC-01, AT-01, AU-01, CA-01, CM-01, CP-01, IA-01, IR-01, MA-01, MP-01, PE-01, PL-01, PM-01, PS-01, PT-01, RA-01, SA-01, SC-01, SI-01, SR-01</t>
  </si>
  <si>
    <t>AC-01, AT-01, AU-01, CA-01, CM-01, CP-01, IA-01, IR-01, MA-01, MP-01, PE-01, PL-01, PM-01, PS-01, PT-01, RA-01, SA-01, SC-01, SI-01, SR-01, PM-09, PM-18, PM-30, PM-31, RA-07, SR-06</t>
  </si>
  <si>
    <t>PM-30, SR-02, SR-03</t>
  </si>
  <si>
    <t>SR-02, SR-03, SR-05</t>
  </si>
  <si>
    <t>AC-01, AT-01, AU-01, CA-01, CM-01, CP-01, IA-01, IR-01, MA-01, MP-01, PE-01, PL-01, PM-01, PS-01, PT-01, RA-01, SA-01, SC-01, SI-01, SR-01, PM-09, PM-18, PM-30, PM-31, SR-02, SR-03, RA-03, RA-07</t>
  </si>
  <si>
    <t>RA-09, SA-09, SR-06</t>
  </si>
  <si>
    <t>SA-04, SA-09, SR-03, SR-05, SR-06, SR-10</t>
  </si>
  <si>
    <t>SA-04, SA-09, SR-05, SR-06</t>
  </si>
  <si>
    <t>RA-09, SA-04, SA-09, SR-03, SR-06</t>
  </si>
  <si>
    <t>SA-04, SA-09, SR-02, SR-03, SR-08, CP-01, IR-01</t>
  </si>
  <si>
    <t>PM-09, PM-19, PM-28, PM-30, PM-31, RA-03, RA-07, SA-04, SA-09, SR-02, SR-03, SR-05, SR-06</t>
  </si>
  <si>
    <t>PM-31, RA-03, RA-05, RA-07, SA-04, SA-09, SR-02, SR-03, SR-05, SR-06</t>
  </si>
  <si>
    <t>CM-08, PM-05</t>
  </si>
  <si>
    <t>AC-20, CM-08, PM-05, SA-05, SA-09</t>
  </si>
  <si>
    <t>AC-04, CA-03, CA-09, PL-02, PL-08, PM-07</t>
  </si>
  <si>
    <t>AC-20, SA-09, SR-02</t>
  </si>
  <si>
    <t>RA-03, RA-09, RA-02</t>
  </si>
  <si>
    <t>CM-12, CM-13, SI-12</t>
  </si>
  <si>
    <t>SI-05, PM-15, PM-16</t>
  </si>
  <si>
    <t>PM-12, PM-16, RA-03, SI-05</t>
  </si>
  <si>
    <t>PM-09, PM-11, RA-02, RA-03, RA-08, RA-09</t>
  </si>
  <si>
    <t>PM-16, RA-02, RA-03, RA-07</t>
  </si>
  <si>
    <t>PM-09, PM-18, PM-30, RA-07</t>
  </si>
  <si>
    <t>CA-07, CM-03, CM-04</t>
  </si>
  <si>
    <t>AC-01, AT-01, AU-01, CA-01, CM-01, CP-01, IA-01, IR-01, MA-01, MP-01, PE-01, PL-01, PM-01, PS-01, PT-01, RA-01, SA-01, SC-01, SI-01, SR-01, CA-02, CA-05, CA-07, CA-08, CP-02, IR-04, IR-08, PL-02, RA-03, RA-05, RA-07, SA-08, SA-11, SA-17(06), SI-02, SI-04, SR-05</t>
  </si>
  <si>
    <t>AC-01, AT-01, AU-01, CA-01, CM-01, CP-01, IA-01, IR-01, MA-01, MP-01, PE-01, PL-01, PM-01, PS-01, PT-01, RA-01, SA-01, SC-01, SI-01, SR-01, CA-02, CA-05, CA-07, CA-08, CP-02, CP-04, IR-03, IR-04, IR-08, PL-02, PM-04, PM-31, RA-03, RA-05, RA-07, SA-08, SA-11, SI-02, SI-04, SR-05</t>
  </si>
  <si>
    <t>AC-01, AT-01, AU-01, CA-01, CM-01, CP-01, IA-01, IR-01, MA-01, MP-01, PE-01, PL-01, PM-01, PS-01, PT-01, RA-01, SA-01, SC-01, SI-01, SR-01, CA-02, CA-05, CA-07, CA-08, CP-02, IR-04, IR-08, PL-02, PM-04, PM-31, RA-03, RA-05, RA-07, SA-04, SA-08, SA-11, SI-02, SI-04, SR-05</t>
  </si>
  <si>
    <t>CP-02, IR-08, PL-02, SR-02</t>
  </si>
  <si>
    <t>AC-01, AC-02, AC-14, IA-01, IA-02, IA-03, IA-04, IA-05, IA-06, IA-07, IA-08, IA-09, IA-10, IA-11</t>
  </si>
  <si>
    <t>AC-07, AC-12, IA-02, IA-03, IA-05, IA-07, IA-08, IA-09, IA-10, IA-11</t>
  </si>
  <si>
    <t>AT-02, AT-03</t>
  </si>
  <si>
    <t>CP-06, CP-09</t>
  </si>
  <si>
    <t>AU-02, AU-03, AU-06, AU-07, AU-11, AU-12</t>
  </si>
  <si>
    <t>CP-06, CP-07, CP-08, PM-03, PM-09</t>
  </si>
  <si>
    <t>PM-16, RA-03, RA-10</t>
  </si>
  <si>
    <t>Базовий профіль - ДССЗЗІ</t>
  </si>
  <si>
    <t>Опис наслідку CSF - ДССЗЗІ 2026</t>
  </si>
  <si>
    <t>забезпечити розуміння місії суб’єкта та її врахування при управлінні ризиками кібербезпеки.</t>
  </si>
  <si>
    <t>визначити внутрішніх та зовнішніх заінтересованих сторін, забезпечити розуміння та врахування їхніх потреб і очікувань щодо управління ризиками.</t>
  </si>
  <si>
    <t>визначити та забезпечити виконання співробітниками чинних законодавчих, нормативних та договірних вимог, а також вимог суб’єкта щодо кібербезпеки, включаючи вимоги щодо нерозголошення конфіденційної інформації та захисту прав та свобод.</t>
  </si>
  <si>
    <t>визначити та довести до відома співробітників ключові цілі, критичні послуги та спроможності суб’єкта.</t>
  </si>
  <si>
    <t>визначити наслідки, спроможності та послуги, від яких залежить діяльність суб’єкта, забезпечити їх усвідомлення співробітниками.</t>
  </si>
  <si>
    <t>визначити та узгодити із заінтересованими сторонами суб’єкта цілі управління ризиками кібербезпеки.</t>
  </si>
  <si>
    <t>визначити допустимий рівень ризику кібербезпеки, який суб’єкт може прийняти, довести до відома всіх співробітників та заінтересованих сторін і підтримувати таку інформацію в актуальному стані.</t>
  </si>
  <si>
    <t>додати до загальних процесів управління ризиками суб’єкта діяльність з управління ризиками кібербезпеки та досягнення її цілей.</t>
  </si>
  <si>
    <t>визначити та довести до відома співробітників стратегічні напрями, які описують відповідні варіанти реагування на ризики кібербезпеки.</t>
  </si>
  <si>
    <t>визначити та довести до відома співробітників способи обміну інформацією всередині суб’єкта щодо ризиків кібербезпеки, включаючи ризики, які несуть постачальники товарів, робіт, послуг та інші треті сторони.</t>
  </si>
  <si>
    <t>визначити та довести до відома співробітників стандартизовані методи розрахунку, документування, ідентифікації та визначення пріоритетності ризиків кібербезпеки.</t>
  </si>
  <si>
    <t>визначити, охарактеризувати та забезпечувати обговорення зі співробітниками суб’єкта стратегічних можливостей щодо управління ризиками кібербезпеки.</t>
  </si>
  <si>
    <t>визначити із числа керівництва суб’єкта посадову особу, яка звітує про ризики кібербезпеки та підтримання культури поведінки щодо усвідомлення ризиків та етики, її постійне вдосконалення, а також відповідає за них.</t>
  </si>
  <si>
    <t>встановити, забезпечити комунікацію, розуміння та дотримання ролей та повноважень щодо управління ризиками.</t>
  </si>
  <si>
    <t/>
  </si>
  <si>
    <t>включити питання кібербезпеки в практики управління персоналом.</t>
  </si>
  <si>
    <t>розробити та довести до відома співробітників суб’єкта політику управління ризиками кібербезпеки, яка визначена з урахуванням структури суб’єкта, стратегії кібербезпеки та пріоритетів.</t>
  </si>
  <si>
    <t>забезпечити періодичний перегляд, оновлення та виконання політики управління ризиками кібербезпеки з урахуванням змін нормативних вимог, загроз, технологій та місії суб’єкта.</t>
  </si>
  <si>
    <t>забезпечити перегляд і коригування стратегії управління ризиками кібербезпеки для забезпечення охоплення нею вимог суб’єкта та ризиків.</t>
  </si>
  <si>
    <t>розробити програму, стратегію, цілі, політики та процеси управління кібербезпеки, пов’язаними з ланцюгами постачання, погодити їх із заінтересованими сторонами суб’єкта.</t>
  </si>
  <si>
    <t>розробити, довести, здійснювати внутрішню та зовнішню координацію ролей з кібербезпеки при їх виконанні постачальниками товарів, робіт, послуг, користувачами та партнерами суб’єкта.</t>
  </si>
  <si>
    <t>забезпечити інтеграцію управління ризиками ланцюга постачання у сфері кібербезпеки в процеси управління ризиками кібербезпеки суб’єкта, оцінку ризиків і їх вдосконалення.</t>
  </si>
  <si>
    <t>визначити та пріоритизувати постачальників товарів, робіт, послуг за ступенем критичності.</t>
  </si>
  <si>
    <t>встановити вимоги, пов’язані з ризиками кібербезпеки в ланцюгах постачання, та впровадити їх в договори/контракти або інші типи договорів з постачальниками товарів, робіт, послуг та відповідними третіми сторонами.</t>
  </si>
  <si>
    <t>забезпечити планування та комплексну перевірку постачальників товарів, робіт, послуг або інших третіх сторін для зменшення ризиків кібербезпеки перед початком договірних відносин з ними.</t>
  </si>
  <si>
    <t>визначити ризики кібербезпеки, пов’язані з постачальником товарів, робіт, послуг, його продукцією та послугами, які він надає, з іншими третіми сторонами, усвідомити їх, зареєструвати, пріоритизувати та забезпечити реагування на них і контроль протягом всієї співпраці.</t>
  </si>
  <si>
    <t>забезпечити залучення відповідних постачальників товарів, робіт, послуг та інших третіх сторін до діяльності щодо планування, реагування на кіберінциденти, кібератаки, кіберзагрози та відновлення після них.</t>
  </si>
  <si>
    <t>інтегрувати практичні заходи щодо забезпечення безпеки ланцюга постачання в програми суб’єкта щодо кібербезпеки та управління ризиками кібербезпеки, контролювати їх ефективність протягом всього життєвого циклу користування продуктами та послугами, які суб’єкт отримує від  постачальника товарів, робіт, послуг чи інших третіх сторін.</t>
  </si>
  <si>
    <t>забезпечити періодичне проведення інвентаризації обладнання,  яким керує суб’єкт.</t>
  </si>
  <si>
    <t>забезпечити періодичне проведення інвентаризації програмного забезпечення, послуг і систем, якими керує суб’єкт.</t>
  </si>
  <si>
    <t>забезпечити підтримку використання авторизованих мережевих з’єднань та  визначити внутрішні і зовнішні мережеві потоки.</t>
  </si>
  <si>
    <t>забезпечити періодичне проведення інвентаризації послуг, що надаються постачальниками товарів, робіт, послуг.</t>
  </si>
  <si>
    <t>провести розподіл активів за пріоритетністю, враховуючи їх класифікацію, критичність, ресурси, вплив на місію суб’єкта.</t>
  </si>
  <si>
    <t>організувати отримання інформації про кіберзагрози та вразливості з платформи обміну інформацією про кіберінциденти, кібератаки, кіберзагрози, з репозитарію інформації про кіберінциденти, інших офіційних джерел.</t>
  </si>
  <si>
    <t>визначити та задокументувати внутрішні та зовнішні кіберзагрози.</t>
  </si>
  <si>
    <t>визначити та задокументувати потенційні наслідки та вірогідні загрози, пов’язані з експлуатацією кіберзагроз та вразливостей.</t>
  </si>
  <si>
    <t>забезпечити використання інформації про вірогідні кіберзагрози, вразливості та можливі наслідки від їх настання для розуміння невід’ємного ризику кібербезпеки та інформування про пріоритетність реагування на ризики.</t>
  </si>
  <si>
    <t>визначити заходи реагування на ризики кібербезпеки та  встановити їх пріоритетність, забезпечити їх відслідковування та комунікацію щодо них.</t>
  </si>
  <si>
    <t>забезпечити управління, оцінювання на предмет ризику кібербезпеки, реєстрацію та відстеження змін та винятків до затвердженої документації.</t>
  </si>
  <si>
    <t>забезпечити проведення оцінювання  постачальників товарів, робіт, послуг перед придбанням у них критично важливих для суб’єкта товарів, робіт і послуг.</t>
  </si>
  <si>
    <t>визначити напрями удосконалення за результатами тестування безпеки та навчальних вправ, включаючи їх виконання у взаємодії з постачальниками товарів, робіт, послуг та відповідними третіми сторонами.</t>
  </si>
  <si>
    <t>покращення з управління ризиками кібербезпеки під час виконання операційних процесів, процедур і дій.</t>
  </si>
  <si>
    <t>розробити, затвердити, довести до відома співробітників, переглядати та удосконалювати план реагування на кіберінциденти, кібератаки або кіберзагрози відповідно до Національного плану реагування на кіберінциденти, кібератаки та кіберзагрози, затвердженого постановою Кабінету Міністрів України від 26 листопада 2025 року № 1533, внутрішні політики кібербезпеки, план кіберзахисту та інші регламентуючі документи, які впливають на діяльність суб’єкта.</t>
  </si>
  <si>
    <t>забезпечити на рівні суб’єкта керування обліковими даними для авторизованих користувачів, служб і апаратного забезпечення.</t>
  </si>
  <si>
    <t>забезпечити перевіряння, захист і передавання інформації про запити на ідентифікацію.</t>
  </si>
  <si>
    <t>здійснювати управління та моніторинг фізичного доступу до активів відповідно до ризику кібербезпеки.</t>
  </si>
  <si>
    <t>систематично проводити інструктажі та тренінги з кібергігієни, а також забезпечити обізнаність і навченість співробітників таким чином, що вони мали знання та навички для виконання основних завдань щодо ризиків кібербезпеки.</t>
  </si>
  <si>
    <t>забезпечити обізнаність та навченість співробітників, які безпосередньо виконують завдання із забезпечення кібербезпеки, кіберзахисту таким чином, що вони мали знання та навички для виконання встановлених завдань щодо ризиків кібербезпеки.</t>
  </si>
  <si>
    <t>забезпечити конфіденційність, цілісність і доступність даних, що зберігаються в обладнанні систем суб’єкта.</t>
  </si>
  <si>
    <t>та застосовувати методи керування конфігурацією.</t>
  </si>
  <si>
    <t>забезпечити належне обслуговування, заміну та видалення програмного забезпечення відповідно до ризику кібербезпеки.</t>
  </si>
  <si>
    <t>забезпечити обслуговування, заміну та видалення обладнання відповідно до ризику кібербезпеки.</t>
  </si>
  <si>
    <t>встановлення та виконання несанкціонованого програмного забезпечення.</t>
  </si>
  <si>
    <t>проводити постійний моніторинг мереж і мережевих служб для виявлення потенційно несприятливих подій.</t>
  </si>
  <si>
    <t>проводити постійний моніторинг діяльності співробітників і використання ними технологій для виявлення потенційно несприятливих подій.</t>
  </si>
  <si>
    <t>проводити постійний моніторинг діяльності і послуг зовнішнього постачальника товарів, робіт, послуг для виявлення потенційно несприятливих подій.</t>
  </si>
  <si>
    <t>забезпечити  передавання інформації про несприятливі події до уповноважених суб’єктів для використання відповідного інструментарію.</t>
  </si>
  <si>
    <t>забезпечити збирання, виявлення та аналіз інформації про кіберзагрози  та іншої контекстної інформації.</t>
  </si>
  <si>
    <t>запровадити належну ідентифікацію кіберінцидентів та кібератак за визначними характеристиками.</t>
  </si>
  <si>
    <t>упровадити виконання плану реагування на кіберінциденти, кібератаки або кіберзагрози в координації з відповідними третіми сторонами одразу після оголошення кіберінциденту.</t>
  </si>
  <si>
    <t>упровадити сортування звітів про кіберінциденти після їх підтвердження.</t>
  </si>
  <si>
    <t>таксономію та пріоритизацію кіберінцидентів.</t>
  </si>
  <si>
    <t>упровадити інформування та підвищення рівнів критичності кіберінцидентів (за потреби).</t>
  </si>
  <si>
    <t>упровадити застосування критеріїв для ініціювання відновлення після кіберінциденту.</t>
  </si>
  <si>
    <t>запровадити проведення аналізу для встановлення того, що відбулося під час кіберінциденту та які джерела виникнення кіберінциденту.</t>
  </si>
  <si>
    <t>запровадити здійснення запису дій, які виконуються під час розслідування кіберінциденту, та забезпечити цілісність і збереження таких записів.</t>
  </si>
  <si>
    <t>запровадити здійснення збору та забезпечити цілісність та збереження даних про кіберінциденти та метаданих.</t>
  </si>
  <si>
    <t>запровадити оцінювання масштабу кіберінциденту або кібератаки та  документально його підтверджувати.</t>
  </si>
  <si>
    <t>запровадити сповіщення внутрішніх та зовнішніх заінтересованих сторін про кіберінциденти, кібератаки та кіберзагрози.</t>
  </si>
  <si>
    <t>забезпечити локалізацію кіберінцидентів.</t>
  </si>
  <si>
    <t>забезпечити ліквідацію кіберінцидентів.</t>
  </si>
  <si>
    <t>забезпечити виконання передбачених планом реагування на кіберінциденти, кібератаки або кіберзагрози заходів щодо відновлення одразу після їх ініціалізації в ході реагування на кіберінциденти, кібератаки та кіберзагрози.</t>
  </si>
  <si>
    <t>забезпечити відбір, визначення обсягу, пріоритетність та  виконання заходів з відновлення.</t>
  </si>
  <si>
    <t>переглянути критичні для місії суб’єкта функції для  встановлення операційних норм після кіберінцидентів і кібератак.</t>
  </si>
  <si>
    <t>задекларувати завершення відновлення після кіберінциденту, кібератаки  і підтвердження критеріїв та пов’язаної з кіберінцидентом документації.</t>
  </si>
  <si>
    <t>запровадити інформування суспільства про відновлення після кіберінциденту, кібератаки, використовуючи затверджені методи та повідомлення, відповідно до Порядку публічного інформування або звітування про реагування на кіберінциденти, кібератаки, усунення їх наслідків, затвердженого постановою Кабінету Міністрів України від 26 листопада 2025 року № 1533.</t>
  </si>
  <si>
    <t>Різниця в описі наслідку CSF - ДССЗЗІ 2025</t>
  </si>
  <si>
    <t>Так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</si>
</sst>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charset val="204"/>
      <scheme val="minor"/>
    </font>
    <font>
      <sz val="11"/>
      <color theme="1"/>
      <name val="Calibri"/>
      <family val="2"/>
      <charset val="204"/>
      <scheme val="minor"/>
    </font>
    <font>
      <b/>
      <sz val="11"/>
      <color theme="0"/>
      <name val="Calibri"/>
      <family val="2"/>
      <charset val="204"/>
      <scheme val="minor"/>
    </font>
    <font>
      <b/>
      <sz val="11"/>
      <name val="Calibri"/>
      <family val="2"/>
      <charset val="204"/>
      <scheme val="minor"/>
    </font>
    <font>
      <b/>
      <sz val="9"/>
      <color indexed="81"/>
      <name val="Tahoma"/>
      <family val="2"/>
      <charset val="204"/>
    </font>
    <font>
      <sz val="9"/>
      <color indexed="81"/>
      <name val="Tahoma"/>
      <family val="2"/>
      <charset val="204"/>
    </font>
    <font>
      <sz val="11"/>
      <name val="Calibri"/>
      <family val="2"/>
      <scheme val="minor"/>
    </font>
    <font>
      <sz val="11"/>
      <name val="Calibri (Body)"/>
    </font>
    <font>
      <sz val="11"/>
      <color rgb="FFFF0000"/>
      <name val="Calibri"/>
      <family val="2"/>
      <scheme val="minor"/>
    </font>
    <font>
      <u/>
      <sz val="11"/>
      <color theme="10"/>
      <name val="Calibri"/>
      <family val="2"/>
      <charset val="204"/>
      <scheme val="minor"/>
    </font>
    <font>
      <b/>
      <u/>
      <sz val="11"/>
      <color theme="10"/>
      <name val="Calibri"/>
      <family val="2"/>
      <charset val="204"/>
      <scheme val="minor"/>
    </font>
    <font>
      <sz val="11"/>
      <name val="Calibri"/>
      <family val="2"/>
      <charset val="204"/>
      <scheme val="minor"/>
    </font>
    <font>
      <sz val="8"/>
      <name val="Calibri"/>
      <family val="2"/>
      <charset val="204"/>
      <scheme val="minor"/>
    </font>
  </fonts>
  <fills count="3">
    <fill>
      <patternFill patternType="none"/>
    </fill>
    <fill>
      <patternFill patternType="gray125"/>
    </fill>
    <fill>
      <patternFill patternType="solid">
        <fgColor theme="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9" fillId="0" borderId="0" applyNumberFormat="0" applyFill="0" applyBorder="0" applyAlignment="0" applyProtection="0"/>
  </cellStyleXfs>
  <cellXfs count="14">
    <xf numFmtId="0" fontId="0" fillId="0" borderId="0" xfId="0"/>
    <xf numFmtId="0" fontId="6" fillId="0" borderId="0" xfId="0" applyFont="1" applyAlignment="1">
      <alignment horizontal="left" vertical="top" wrapText="1"/>
    </xf>
    <xf numFmtId="0" fontId="6" fillId="0" borderId="0" xfId="0" applyFont="1"/>
    <xf numFmtId="0" fontId="6" fillId="0" borderId="0" xfId="0" applyFont="1" applyAlignment="1">
      <alignment wrapText="1"/>
    </xf>
    <xf numFmtId="0" fontId="7" fillId="0" borderId="0" xfId="0" applyFont="1" applyAlignment="1">
      <alignment horizontal="left" vertical="top" wrapText="1"/>
    </xf>
    <xf numFmtId="0" fontId="8" fillId="0" borderId="0" xfId="0" applyFont="1" applyAlignment="1">
      <alignment horizontal="left" vertical="top" wrapText="1"/>
    </xf>
    <xf numFmtId="0" fontId="0" fillId="0" borderId="0" xfId="0" applyAlignment="1">
      <alignment horizontal="center" vertical="top" wrapText="1"/>
    </xf>
    <xf numFmtId="0" fontId="11" fillId="0" borderId="0" xfId="0" applyFont="1"/>
    <xf numFmtId="0" fontId="0" fillId="0" borderId="0" xfId="0" applyAlignment="1">
      <alignment wrapText="1"/>
    </xf>
    <xf numFmtId="0" fontId="1" fillId="0"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0" fontId="2" fillId="2" borderId="2" xfId="0" applyFont="1" applyFill="1" applyBorder="1" applyAlignment="1">
      <alignment horizontal="left" vertical="center" wrapText="1"/>
    </xf>
    <xf numFmtId="0" fontId="10" fillId="2" borderId="1" xfId="1" applyFont="1" applyFill="1" applyBorder="1" applyAlignment="1">
      <alignment horizontal="left" vertical="center" wrapText="1"/>
    </xf>
    <xf numFmtId="0" fontId="3" fillId="2" borderId="1" xfId="0" applyFont="1" applyFill="1" applyBorder="1" applyAlignment="1">
      <alignment horizontal="left" vertical="center" wrapText="1"/>
    </xf>
  </cellXfs>
  <cellStyles count="2">
    <cellStyle name="Hyperlink" xfId="1" builtinId="8"/>
    <cellStyle name="Normal" xfId="0" builtinId="0"/>
  </cellStyles>
  <dxfs count="11">
    <dxf>
      <font>
        <color rgb="FF9C0006"/>
      </font>
      <fill>
        <patternFill>
          <bgColor rgb="FFFFC7CE"/>
        </patternFill>
      </fill>
    </dxf>
    <dxf>
      <font>
        <color rgb="FF006100"/>
      </font>
      <fill>
        <patternFill>
          <bgColor rgb="FFC6EFCE"/>
        </patternFill>
      </fill>
    </dxf>
    <dxf>
      <font>
        <strike val="0"/>
        <outline val="0"/>
        <shadow val="0"/>
        <u val="none"/>
        <vertAlign val="baseline"/>
        <sz val="11"/>
        <color auto="1"/>
      </font>
      <numFmt numFmtId="0" formatCode="General"/>
    </dxf>
    <dxf>
      <font>
        <strike val="0"/>
        <outline val="0"/>
        <shadow val="0"/>
        <u val="none"/>
        <vertAlign val="baseline"/>
        <sz val="11"/>
        <color auto="1"/>
      </font>
      <numFmt numFmtId="0" formatCode="General"/>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6D96AC-F32B-4169-948A-ED8B32F14E1E}" name="SheetTable02" displayName="SheetTable02" ref="A2:H768" totalsRowShown="0" dataDxfId="10">
  <autoFilter ref="A2:H768" xr:uid="{56B566DA-C5C6-4F0B-BFB0-B3E07F267768}"/>
  <tableColumns count="8">
    <tableColumn id="1" xr3:uid="{149814DA-2722-4F71-B5CE-83931B80C652}" name="Focal Document_x000a_Element" dataDxfId="9"/>
    <tableColumn id="2" xr3:uid="{66010492-E921-4EA8-A2BE-50B117107AAB}" name="Focal Document Element Description" dataDxfId="8"/>
    <tableColumn id="3" xr3:uid="{3EEED40B-AEE7-4159-A62C-0B94DC0610E7}" name="Reference Document_x000a_Element" dataDxfId="7"/>
    <tableColumn id="4" xr3:uid="{3A7860FF-06F6-49B5-8E11-5F1EA8A46E69}" name="Reference Document_x000a_Element Description_x000a_(Optional)" dataDxfId="6"/>
    <tableColumn id="5" xr3:uid="{708687CD-FAD8-40EF-86A2-7D4CED33D59F}" name="Comments_x000a_(Optional)" dataDxfId="5"/>
    <tableColumn id="6" xr3:uid="{2D2069C9-22AD-4962-B1A8-1C0F62E9C50B}" name="Strength of_x000a_Relationship_x000a_(Optional)" dataDxfId="4"/>
    <tableColumn id="7" xr3:uid="{7158F0B1-EAFE-48A0-ACFF-2196130EEB8A}" name="Column1" dataDxfId="3">
      <calculatedColumnFormula>COUNTIF(SheetTable02[Focal Document
Element],A3)</calculatedColumnFormula>
    </tableColumn>
    <tableColumn id="8" xr3:uid="{AD8E560A-DFCD-4661-9076-C915AAACE59E}" name="Column2" dataDxfId="2">
      <calculatedColumnFormula>IF(A3=A2,"",_xlfn.TEXTJOIN(", ", TRUE, C3:INDEX(C:C, ROW(C3)+SheetTable02[[#This Row],[Column1]]-1)))</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ip.gov.ua/ua/news/nakaz-administraciyi-derzhspeczv-yazku-vid-30-01-2026-75-pro-zatverdzhennya-katalogu-zakhodiv-z-kiberzakhistu-bazovikh-zakhodiv-z-kiberzakhistu-formi-planu-kiberzakhistu-ta-metodichnikh-rekomendacii-shodo-zdiisnennya-zakhodiv-z-kiberzakhistu" TargetMode="External"/><Relationship Id="rId1" Type="http://schemas.openxmlformats.org/officeDocument/2006/relationships/hyperlink" Target="https://www.cisecurity.org/-/media/project/cisecurity/cisecurity/data/media/files/uploads/2024/08/cis-ms-isac-nist-cybersecurity-framework-policy-template-guide-2024.pdf"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7173-ED99-4609-83C6-68C339FBDC22}">
  <dimension ref="A1:Z107"/>
  <sheetViews>
    <sheetView tabSelected="1" workbookViewId="0">
      <pane ySplit="1" topLeftCell="A2" activePane="bottomLeft" state="frozen"/>
      <selection pane="bottomLeft"/>
    </sheetView>
  </sheetViews>
  <sheetFormatPr defaultRowHeight="14.4"/>
  <cols>
    <col min="1" max="1" width="14.6640625" customWidth="1"/>
    <col min="2" max="4" width="24.109375" customWidth="1"/>
    <col min="5" max="5" width="16.44140625" customWidth="1"/>
    <col min="6" max="6" width="11.5546875" hidden="1" customWidth="1"/>
    <col min="7" max="7" width="33.109375" hidden="1" customWidth="1"/>
    <col min="8" max="8" width="29.77734375" customWidth="1"/>
    <col min="9" max="12" width="11" hidden="1" customWidth="1"/>
    <col min="13" max="13" width="10.6640625" hidden="1" customWidth="1"/>
    <col min="14" max="15" width="15.109375" hidden="1" customWidth="1"/>
    <col min="16" max="16" width="17.6640625" hidden="1" customWidth="1"/>
    <col min="17" max="18" width="15.109375" hidden="1" customWidth="1"/>
    <col min="19" max="19" width="10.5546875" hidden="1" customWidth="1"/>
    <col min="20" max="20" width="17.33203125" hidden="1" customWidth="1"/>
    <col min="21" max="22" width="18.6640625" hidden="1" customWidth="1"/>
    <col min="23" max="23" width="29.5546875" hidden="1" customWidth="1"/>
    <col min="24" max="24" width="12.44140625" customWidth="1"/>
    <col min="25" max="25" width="27.21875" customWidth="1"/>
    <col min="26" max="26" width="36.88671875" customWidth="1"/>
  </cols>
  <sheetData>
    <row r="1" spans="1:26" ht="72">
      <c r="A1" s="10" t="s">
        <v>0</v>
      </c>
      <c r="B1" s="10" t="s">
        <v>2</v>
      </c>
      <c r="C1" s="10" t="s">
        <v>847</v>
      </c>
      <c r="D1" s="10" t="s">
        <v>924</v>
      </c>
      <c r="E1" s="11" t="s">
        <v>846</v>
      </c>
      <c r="F1" s="10" t="s">
        <v>3</v>
      </c>
      <c r="G1" s="10" t="s">
        <v>4</v>
      </c>
      <c r="H1" s="10" t="s">
        <v>752</v>
      </c>
      <c r="I1" s="12"/>
      <c r="J1" s="13" t="s">
        <v>5</v>
      </c>
      <c r="K1" s="13" t="s">
        <v>6</v>
      </c>
      <c r="L1" s="13" t="s">
        <v>7</v>
      </c>
      <c r="M1" s="13" t="s">
        <v>8</v>
      </c>
      <c r="N1" s="13" t="s">
        <v>9</v>
      </c>
      <c r="O1" s="13" t="s">
        <v>10</v>
      </c>
      <c r="P1" s="13" t="s">
        <v>11</v>
      </c>
      <c r="Q1" s="13" t="s">
        <v>12</v>
      </c>
      <c r="R1" s="13" t="s">
        <v>13</v>
      </c>
      <c r="S1" s="13" t="s">
        <v>14</v>
      </c>
      <c r="T1" s="13" t="s">
        <v>15</v>
      </c>
      <c r="U1" s="13" t="s">
        <v>16</v>
      </c>
      <c r="V1" s="13" t="s">
        <v>17</v>
      </c>
      <c r="W1" s="13" t="s">
        <v>18</v>
      </c>
      <c r="X1" s="10" t="s">
        <v>1</v>
      </c>
      <c r="Y1" s="10" t="s">
        <v>799</v>
      </c>
    </row>
    <row r="2" spans="1:26" ht="288">
      <c r="A2" s="9" t="s">
        <v>19</v>
      </c>
      <c r="B2" s="9" t="s">
        <v>21</v>
      </c>
      <c r="C2" s="9" t="s">
        <v>848</v>
      </c>
      <c r="D2" s="9" t="s">
        <v>22</v>
      </c>
      <c r="E2" s="9" t="s">
        <v>925</v>
      </c>
      <c r="F2" s="9"/>
      <c r="G2" s="9"/>
      <c r="H2" s="9" t="s">
        <v>411</v>
      </c>
      <c r="I2" s="9"/>
      <c r="J2" s="9"/>
      <c r="K2" s="9" t="s">
        <v>753</v>
      </c>
      <c r="L2" s="9" t="s">
        <v>23</v>
      </c>
      <c r="M2" s="9"/>
      <c r="N2" s="9"/>
      <c r="O2" s="9"/>
      <c r="P2" s="9"/>
      <c r="Q2" s="9"/>
      <c r="R2" s="9"/>
      <c r="S2" s="9"/>
      <c r="T2" s="9"/>
      <c r="U2" s="9"/>
      <c r="V2" s="9"/>
      <c r="W2" s="9"/>
      <c r="X2" s="9" t="s">
        <v>20</v>
      </c>
      <c r="Y2" s="9" t="s">
        <v>425</v>
      </c>
      <c r="Z2" s="8"/>
    </row>
    <row r="3" spans="1:26" ht="115.2">
      <c r="A3" s="9" t="s">
        <v>24</v>
      </c>
      <c r="B3" s="9" t="s">
        <v>26</v>
      </c>
      <c r="C3" s="9" t="s">
        <v>849</v>
      </c>
      <c r="D3" s="9" t="s">
        <v>27</v>
      </c>
      <c r="E3" s="9" t="s">
        <v>925</v>
      </c>
      <c r="F3" s="9"/>
      <c r="G3" s="9"/>
      <c r="H3" s="9" t="s">
        <v>711</v>
      </c>
      <c r="I3" s="9"/>
      <c r="J3" s="9"/>
      <c r="K3" s="9" t="s">
        <v>753</v>
      </c>
      <c r="L3" s="9" t="s">
        <v>23</v>
      </c>
      <c r="M3" s="9"/>
      <c r="N3" s="9"/>
      <c r="O3" s="9"/>
      <c r="P3" s="9"/>
      <c r="Q3" s="9"/>
      <c r="R3" s="9"/>
      <c r="S3" s="9"/>
      <c r="T3" s="9"/>
      <c r="U3" s="9"/>
      <c r="V3" s="9"/>
      <c r="W3" s="9"/>
      <c r="X3" s="9" t="s">
        <v>25</v>
      </c>
      <c r="Y3" s="9" t="s">
        <v>800</v>
      </c>
      <c r="Z3" s="8"/>
    </row>
    <row r="4" spans="1:26" ht="187.2">
      <c r="A4" s="9" t="s">
        <v>28</v>
      </c>
      <c r="B4" s="9" t="s">
        <v>30</v>
      </c>
      <c r="C4" s="9" t="s">
        <v>850</v>
      </c>
      <c r="D4" s="9" t="s">
        <v>31</v>
      </c>
      <c r="E4" s="9" t="s">
        <v>925</v>
      </c>
      <c r="F4" s="9"/>
      <c r="G4" s="9"/>
      <c r="H4" s="9" t="s">
        <v>711</v>
      </c>
      <c r="I4" s="9"/>
      <c r="J4" s="9"/>
      <c r="K4" s="9" t="s">
        <v>753</v>
      </c>
      <c r="L4" s="9" t="s">
        <v>23</v>
      </c>
      <c r="M4" s="9"/>
      <c r="N4" s="9"/>
      <c r="O4" s="9"/>
      <c r="P4" s="9"/>
      <c r="Q4" s="9"/>
      <c r="R4" s="9"/>
      <c r="S4" s="9"/>
      <c r="T4" s="9"/>
      <c r="U4" s="9"/>
      <c r="V4" s="9"/>
      <c r="W4" s="9"/>
      <c r="X4" s="9" t="s">
        <v>29</v>
      </c>
      <c r="Y4" s="9" t="s">
        <v>801</v>
      </c>
      <c r="Z4" s="8"/>
    </row>
    <row r="5" spans="1:26" ht="115.2">
      <c r="A5" s="9" t="s">
        <v>32</v>
      </c>
      <c r="B5" s="9" t="s">
        <v>34</v>
      </c>
      <c r="C5" s="9" t="s">
        <v>851</v>
      </c>
      <c r="D5" s="9" t="s">
        <v>35</v>
      </c>
      <c r="E5" s="9" t="s">
        <v>862</v>
      </c>
      <c r="F5" s="9"/>
      <c r="G5" s="9"/>
      <c r="H5" s="9" t="s">
        <v>712</v>
      </c>
      <c r="I5" s="9"/>
      <c r="J5" s="9"/>
      <c r="K5" s="9" t="s">
        <v>753</v>
      </c>
      <c r="L5" s="9" t="s">
        <v>23</v>
      </c>
      <c r="M5" s="9"/>
      <c r="N5" s="9"/>
      <c r="O5" s="9"/>
      <c r="P5" s="9"/>
      <c r="Q5" s="9"/>
      <c r="R5" s="9"/>
      <c r="S5" s="9"/>
      <c r="T5" s="9"/>
      <c r="U5" s="9"/>
      <c r="V5" s="9"/>
      <c r="W5" s="9"/>
      <c r="X5" s="9" t="s">
        <v>33</v>
      </c>
      <c r="Y5" s="9" t="s">
        <v>758</v>
      </c>
      <c r="Z5" s="8"/>
    </row>
    <row r="6" spans="1:26" ht="100.8">
      <c r="A6" s="9" t="s">
        <v>36</v>
      </c>
      <c r="B6" s="9" t="s">
        <v>38</v>
      </c>
      <c r="C6" s="9" t="s">
        <v>852</v>
      </c>
      <c r="D6" s="9" t="s">
        <v>39</v>
      </c>
      <c r="E6" s="9" t="s">
        <v>862</v>
      </c>
      <c r="F6" s="9"/>
      <c r="G6" s="9"/>
      <c r="H6" s="9" t="s">
        <v>713</v>
      </c>
      <c r="I6" s="9"/>
      <c r="J6" s="9"/>
      <c r="K6" s="9" t="s">
        <v>754</v>
      </c>
      <c r="L6" s="9" t="s">
        <v>23</v>
      </c>
      <c r="M6" s="9"/>
      <c r="N6" s="9"/>
      <c r="O6" s="9"/>
      <c r="P6" s="9"/>
      <c r="Q6" s="9"/>
      <c r="R6" s="9"/>
      <c r="S6" s="9"/>
      <c r="T6" s="9"/>
      <c r="U6" s="9"/>
      <c r="V6" s="9"/>
      <c r="W6" s="9"/>
      <c r="X6" s="9" t="s">
        <v>37</v>
      </c>
      <c r="Y6" s="9" t="s">
        <v>802</v>
      </c>
      <c r="Z6" s="8"/>
    </row>
    <row r="7" spans="1:26" ht="72">
      <c r="A7" s="9" t="s">
        <v>40</v>
      </c>
      <c r="B7" s="9" t="s">
        <v>42</v>
      </c>
      <c r="C7" s="9" t="s">
        <v>853</v>
      </c>
      <c r="D7" s="9" t="s">
        <v>43</v>
      </c>
      <c r="E7" s="9" t="s">
        <v>925</v>
      </c>
      <c r="F7" s="9"/>
      <c r="G7" s="9"/>
      <c r="H7" s="9" t="s">
        <v>714</v>
      </c>
      <c r="I7" s="9"/>
      <c r="J7" s="9"/>
      <c r="K7" s="9" t="s">
        <v>754</v>
      </c>
      <c r="L7" s="9" t="s">
        <v>23</v>
      </c>
      <c r="M7" s="9"/>
      <c r="N7" s="9"/>
      <c r="O7" s="9"/>
      <c r="P7" s="9"/>
      <c r="Q7" s="9"/>
      <c r="R7" s="9"/>
      <c r="S7" s="9"/>
      <c r="T7" s="9"/>
      <c r="U7" s="9"/>
      <c r="V7" s="9"/>
      <c r="W7" s="9"/>
      <c r="X7" s="9" t="s">
        <v>41</v>
      </c>
      <c r="Y7" s="9" t="s">
        <v>803</v>
      </c>
      <c r="Z7" s="8"/>
    </row>
    <row r="8" spans="1:26" ht="144">
      <c r="A8" s="9" t="s">
        <v>44</v>
      </c>
      <c r="B8" s="9" t="s">
        <v>46</v>
      </c>
      <c r="C8" s="9" t="s">
        <v>854</v>
      </c>
      <c r="D8" s="9" t="s">
        <v>47</v>
      </c>
      <c r="E8" s="9" t="s">
        <v>925</v>
      </c>
      <c r="F8" s="9"/>
      <c r="G8" s="9"/>
      <c r="H8" s="9" t="s">
        <v>714</v>
      </c>
      <c r="I8" s="9"/>
      <c r="J8" s="9"/>
      <c r="K8" s="9" t="s">
        <v>754</v>
      </c>
      <c r="L8" s="9" t="s">
        <v>23</v>
      </c>
      <c r="M8" s="9"/>
      <c r="N8" s="9"/>
      <c r="O8" s="9"/>
      <c r="P8" s="9"/>
      <c r="Q8" s="9"/>
      <c r="R8" s="9"/>
      <c r="S8" s="9"/>
      <c r="T8" s="9"/>
      <c r="U8" s="9"/>
      <c r="V8" s="9"/>
      <c r="W8" s="9"/>
      <c r="X8" s="9" t="s">
        <v>45</v>
      </c>
      <c r="Y8" s="9" t="s">
        <v>426</v>
      </c>
      <c r="Z8" s="8"/>
    </row>
    <row r="9" spans="1:26" ht="86.4">
      <c r="A9" s="9" t="s">
        <v>48</v>
      </c>
      <c r="B9" s="9" t="s">
        <v>50</v>
      </c>
      <c r="C9" s="9" t="s">
        <v>855</v>
      </c>
      <c r="D9" s="9" t="s">
        <v>51</v>
      </c>
      <c r="E9" s="9" t="s">
        <v>925</v>
      </c>
      <c r="F9" s="9"/>
      <c r="G9" s="9"/>
      <c r="H9" s="9" t="s">
        <v>715</v>
      </c>
      <c r="I9" s="9"/>
      <c r="J9" s="9"/>
      <c r="K9" s="9" t="s">
        <v>753</v>
      </c>
      <c r="L9" s="9" t="s">
        <v>23</v>
      </c>
      <c r="M9" s="9"/>
      <c r="N9" s="9"/>
      <c r="O9" s="9"/>
      <c r="P9" s="9"/>
      <c r="Q9" s="9"/>
      <c r="R9" s="9"/>
      <c r="S9" s="9"/>
      <c r="T9" s="9"/>
      <c r="U9" s="9"/>
      <c r="V9" s="9"/>
      <c r="W9" s="9"/>
      <c r="X9" s="9" t="s">
        <v>49</v>
      </c>
      <c r="Y9" s="9" t="s">
        <v>804</v>
      </c>
      <c r="Z9" s="8"/>
    </row>
    <row r="10" spans="1:26" ht="86.4">
      <c r="A10" s="9" t="s">
        <v>52</v>
      </c>
      <c r="B10" s="9" t="s">
        <v>53</v>
      </c>
      <c r="C10" s="9" t="s">
        <v>856</v>
      </c>
      <c r="D10" s="9" t="s">
        <v>54</v>
      </c>
      <c r="E10" s="9" t="s">
        <v>862</v>
      </c>
      <c r="F10" s="9"/>
      <c r="G10" s="9"/>
      <c r="H10" s="9" t="s">
        <v>714</v>
      </c>
      <c r="I10" s="9"/>
      <c r="J10" s="9"/>
      <c r="K10" s="9" t="s">
        <v>753</v>
      </c>
      <c r="L10" s="9" t="s">
        <v>23</v>
      </c>
      <c r="M10" s="9"/>
      <c r="N10" s="9"/>
      <c r="O10" s="9"/>
      <c r="P10" s="9"/>
      <c r="Q10" s="9"/>
      <c r="R10" s="9"/>
      <c r="S10" s="9"/>
      <c r="T10" s="9"/>
      <c r="U10" s="9"/>
      <c r="V10" s="9"/>
      <c r="W10" s="9"/>
      <c r="X10" s="9" t="s">
        <v>45</v>
      </c>
      <c r="Y10" s="9" t="s">
        <v>805</v>
      </c>
      <c r="Z10" s="8"/>
    </row>
    <row r="11" spans="1:26" ht="144">
      <c r="A11" s="9" t="s">
        <v>55</v>
      </c>
      <c r="B11" s="9" t="s">
        <v>57</v>
      </c>
      <c r="C11" s="9" t="s">
        <v>857</v>
      </c>
      <c r="D11" s="9" t="s">
        <v>58</v>
      </c>
      <c r="E11" s="9" t="s">
        <v>862</v>
      </c>
      <c r="F11" s="9"/>
      <c r="G11" s="9"/>
      <c r="H11" s="9" t="s">
        <v>716</v>
      </c>
      <c r="I11" s="9"/>
      <c r="J11" s="9"/>
      <c r="K11" s="9" t="s">
        <v>753</v>
      </c>
      <c r="L11" s="9" t="s">
        <v>23</v>
      </c>
      <c r="M11" s="9"/>
      <c r="N11" s="9"/>
      <c r="O11" s="9"/>
      <c r="P11" s="9"/>
      <c r="Q11" s="9"/>
      <c r="R11" s="9"/>
      <c r="S11" s="9"/>
      <c r="T11" s="9"/>
      <c r="U11" s="9"/>
      <c r="V11" s="9"/>
      <c r="W11" s="9"/>
      <c r="X11" s="9" t="s">
        <v>56</v>
      </c>
      <c r="Y11" s="9" t="s">
        <v>806</v>
      </c>
      <c r="Z11" s="8"/>
    </row>
    <row r="12" spans="1:26" ht="129.6">
      <c r="A12" s="9" t="s">
        <v>59</v>
      </c>
      <c r="B12" s="9" t="s">
        <v>60</v>
      </c>
      <c r="C12" s="9" t="s">
        <v>858</v>
      </c>
      <c r="D12" s="9" t="s">
        <v>61</v>
      </c>
      <c r="E12" s="9" t="s">
        <v>862</v>
      </c>
      <c r="F12" s="9"/>
      <c r="G12" s="9"/>
      <c r="H12" s="9" t="s">
        <v>717</v>
      </c>
      <c r="I12" s="9"/>
      <c r="J12" s="9"/>
      <c r="K12" s="9" t="e">
        <v>#N/A</v>
      </c>
      <c r="L12" s="9" t="s">
        <v>23</v>
      </c>
      <c r="M12" s="9"/>
      <c r="N12" s="9"/>
      <c r="O12" s="9"/>
      <c r="P12" s="9"/>
      <c r="Q12" s="9"/>
      <c r="R12" s="9"/>
      <c r="S12" s="9"/>
      <c r="T12" s="9"/>
      <c r="U12" s="9"/>
      <c r="V12" s="9"/>
      <c r="W12" s="9"/>
      <c r="X12" s="9" t="s">
        <v>41</v>
      </c>
      <c r="Y12" s="9" t="s">
        <v>807</v>
      </c>
      <c r="Z12" s="8"/>
    </row>
    <row r="13" spans="1:26" ht="129.6">
      <c r="A13" s="9" t="s">
        <v>62</v>
      </c>
      <c r="B13" s="9" t="s">
        <v>63</v>
      </c>
      <c r="C13" s="9" t="s">
        <v>859</v>
      </c>
      <c r="D13" s="9" t="s">
        <v>64</v>
      </c>
      <c r="E13" s="9" t="s">
        <v>862</v>
      </c>
      <c r="F13" s="9"/>
      <c r="G13" s="9"/>
      <c r="H13" s="9" t="s">
        <v>717</v>
      </c>
      <c r="I13" s="9"/>
      <c r="J13" s="9"/>
      <c r="K13" s="9" t="e">
        <v>#N/A</v>
      </c>
      <c r="L13" s="9" t="s">
        <v>23</v>
      </c>
      <c r="M13" s="9"/>
      <c r="N13" s="9"/>
      <c r="O13" s="9"/>
      <c r="P13" s="9"/>
      <c r="Q13" s="9"/>
      <c r="R13" s="9"/>
      <c r="S13" s="9"/>
      <c r="T13" s="9"/>
      <c r="U13" s="9"/>
      <c r="V13" s="9"/>
      <c r="W13" s="9"/>
      <c r="X13" s="9"/>
      <c r="Y13" s="9" t="s">
        <v>807</v>
      </c>
      <c r="Z13" s="8"/>
    </row>
    <row r="14" spans="1:26" ht="144">
      <c r="A14" s="9" t="s">
        <v>65</v>
      </c>
      <c r="B14" s="9" t="s">
        <v>66</v>
      </c>
      <c r="C14" s="9" t="s">
        <v>860</v>
      </c>
      <c r="D14" s="9" t="s">
        <v>67</v>
      </c>
      <c r="E14" s="9" t="s">
        <v>925</v>
      </c>
      <c r="F14" s="9"/>
      <c r="G14" s="9"/>
      <c r="H14" s="9" t="s">
        <v>718</v>
      </c>
      <c r="I14" s="9"/>
      <c r="J14" s="9"/>
      <c r="K14" s="9" t="s">
        <v>753</v>
      </c>
      <c r="L14" s="9" t="s">
        <v>23</v>
      </c>
      <c r="M14" s="9"/>
      <c r="N14" s="9"/>
      <c r="O14" s="9"/>
      <c r="P14" s="9"/>
      <c r="Q14" s="9"/>
      <c r="R14" s="9"/>
      <c r="S14" s="9"/>
      <c r="T14" s="9"/>
      <c r="U14" s="9"/>
      <c r="V14" s="9"/>
      <c r="W14" s="9"/>
      <c r="X14" s="9"/>
      <c r="Y14" s="9" t="s">
        <v>808</v>
      </c>
      <c r="Z14" s="8"/>
    </row>
    <row r="15" spans="1:26" ht="144">
      <c r="A15" s="9" t="s">
        <v>68</v>
      </c>
      <c r="B15" s="9" t="s">
        <v>70</v>
      </c>
      <c r="C15" s="9" t="s">
        <v>861</v>
      </c>
      <c r="D15" s="9" t="s">
        <v>71</v>
      </c>
      <c r="E15" s="9" t="s">
        <v>925</v>
      </c>
      <c r="F15" s="9"/>
      <c r="G15" s="9"/>
      <c r="H15" s="9" t="s">
        <v>719</v>
      </c>
      <c r="I15" s="9"/>
      <c r="J15" s="9"/>
      <c r="K15" s="9" t="e">
        <v>#N/A</v>
      </c>
      <c r="L15" s="9" t="s">
        <v>23</v>
      </c>
      <c r="M15" s="9"/>
      <c r="N15" s="9"/>
      <c r="O15" s="9"/>
      <c r="P15" s="9"/>
      <c r="Q15" s="9"/>
      <c r="R15" s="9"/>
      <c r="S15" s="9"/>
      <c r="T15" s="9"/>
      <c r="U15" s="9"/>
      <c r="V15" s="9"/>
      <c r="W15" s="9"/>
      <c r="X15" s="9" t="s">
        <v>69</v>
      </c>
      <c r="Y15" s="9" t="s">
        <v>809</v>
      </c>
      <c r="Z15" s="8"/>
    </row>
    <row r="16" spans="1:26" ht="86.4">
      <c r="A16" s="9" t="s">
        <v>72</v>
      </c>
      <c r="B16" s="9" t="s">
        <v>73</v>
      </c>
      <c r="C16" s="9" t="s">
        <v>74</v>
      </c>
      <c r="D16" s="9" t="s">
        <v>862</v>
      </c>
      <c r="E16" s="9" t="s">
        <v>925</v>
      </c>
      <c r="F16" s="9"/>
      <c r="G16" s="9"/>
      <c r="H16" s="9" t="s">
        <v>717</v>
      </c>
      <c r="I16" s="9"/>
      <c r="J16" s="9"/>
      <c r="K16" s="9" t="e">
        <v>#N/A</v>
      </c>
      <c r="L16" s="9" t="s">
        <v>23</v>
      </c>
      <c r="M16" s="9"/>
      <c r="N16" s="9"/>
      <c r="O16" s="9"/>
      <c r="P16" s="9"/>
      <c r="Q16" s="9"/>
      <c r="R16" s="9"/>
      <c r="S16" s="9"/>
      <c r="T16" s="9"/>
      <c r="U16" s="9"/>
      <c r="V16" s="9"/>
      <c r="W16" s="9"/>
      <c r="X16" s="9" t="s">
        <v>41</v>
      </c>
      <c r="Y16" s="9" t="s">
        <v>490</v>
      </c>
      <c r="Z16" s="8"/>
    </row>
    <row r="17" spans="1:26" ht="86.4">
      <c r="A17" s="9" t="s">
        <v>75</v>
      </c>
      <c r="B17" s="9" t="s">
        <v>77</v>
      </c>
      <c r="C17" s="9" t="s">
        <v>863</v>
      </c>
      <c r="D17" s="9" t="s">
        <v>78</v>
      </c>
      <c r="E17" s="9" t="s">
        <v>862</v>
      </c>
      <c r="F17" s="9"/>
      <c r="G17" s="9"/>
      <c r="H17" s="9" t="s">
        <v>720</v>
      </c>
      <c r="I17" s="9"/>
      <c r="J17" s="9"/>
      <c r="K17" s="9" t="e">
        <v>#N/A</v>
      </c>
      <c r="L17" s="9" t="s">
        <v>23</v>
      </c>
      <c r="M17" s="9"/>
      <c r="N17" s="9"/>
      <c r="O17" s="9"/>
      <c r="P17" s="9"/>
      <c r="Q17" s="9"/>
      <c r="R17" s="9"/>
      <c r="S17" s="9"/>
      <c r="T17" s="9"/>
      <c r="U17" s="9"/>
      <c r="V17" s="9"/>
      <c r="W17" s="9"/>
      <c r="X17" s="9" t="s">
        <v>76</v>
      </c>
      <c r="Y17" s="9" t="s">
        <v>810</v>
      </c>
      <c r="Z17" s="8"/>
    </row>
    <row r="18" spans="1:26" ht="129.6">
      <c r="A18" s="9" t="s">
        <v>79</v>
      </c>
      <c r="B18" s="9" t="s">
        <v>81</v>
      </c>
      <c r="C18" s="9" t="s">
        <v>864</v>
      </c>
      <c r="D18" s="9" t="s">
        <v>82</v>
      </c>
      <c r="E18" s="9" t="s">
        <v>925</v>
      </c>
      <c r="F18" s="9"/>
      <c r="G18" s="9"/>
      <c r="H18" s="9" t="s">
        <v>721</v>
      </c>
      <c r="I18" s="9"/>
      <c r="J18" s="9"/>
      <c r="K18" s="9" t="s">
        <v>753</v>
      </c>
      <c r="L18" s="9" t="s">
        <v>23</v>
      </c>
      <c r="M18" s="9"/>
      <c r="N18" s="9"/>
      <c r="O18" s="9"/>
      <c r="P18" s="9"/>
      <c r="Q18" s="9"/>
      <c r="R18" s="9"/>
      <c r="S18" s="9"/>
      <c r="T18" s="9"/>
      <c r="U18" s="9"/>
      <c r="V18" s="9"/>
      <c r="W18" s="9"/>
      <c r="X18" s="9" t="s">
        <v>80</v>
      </c>
      <c r="Y18" s="9" t="s">
        <v>811</v>
      </c>
      <c r="Z18" s="8"/>
    </row>
    <row r="19" spans="1:26" ht="129.6">
      <c r="A19" s="9" t="s">
        <v>83</v>
      </c>
      <c r="B19" s="9" t="s">
        <v>84</v>
      </c>
      <c r="C19" s="9" t="s">
        <v>865</v>
      </c>
      <c r="D19" s="9" t="s">
        <v>85</v>
      </c>
      <c r="E19" s="9" t="s">
        <v>862</v>
      </c>
      <c r="F19" s="9"/>
      <c r="G19" s="9"/>
      <c r="H19" s="9" t="s">
        <v>721</v>
      </c>
      <c r="I19" s="9"/>
      <c r="J19" s="9"/>
      <c r="K19" s="9" t="e">
        <v>#N/A</v>
      </c>
      <c r="L19" s="9" t="s">
        <v>23</v>
      </c>
      <c r="M19" s="9"/>
      <c r="N19" s="9"/>
      <c r="O19" s="9"/>
      <c r="P19" s="9"/>
      <c r="Q19" s="9"/>
      <c r="R19" s="9"/>
      <c r="S19" s="9"/>
      <c r="T19" s="9"/>
      <c r="U19" s="9"/>
      <c r="V19" s="9"/>
      <c r="W19" s="9"/>
      <c r="X19" s="9" t="s">
        <v>80</v>
      </c>
      <c r="Y19" s="9" t="s">
        <v>811</v>
      </c>
      <c r="Z19" s="8"/>
    </row>
    <row r="20" spans="1:26" ht="86.4">
      <c r="A20" s="9" t="s">
        <v>86</v>
      </c>
      <c r="B20" s="9" t="s">
        <v>87</v>
      </c>
      <c r="C20" s="9" t="s">
        <v>88</v>
      </c>
      <c r="D20" s="9" t="s">
        <v>862</v>
      </c>
      <c r="E20" s="9" t="s">
        <v>925</v>
      </c>
      <c r="F20" s="9"/>
      <c r="G20" s="9"/>
      <c r="H20" s="9" t="s">
        <v>714</v>
      </c>
      <c r="I20" s="9"/>
      <c r="J20" s="9"/>
      <c r="K20" s="9" t="s">
        <v>753</v>
      </c>
      <c r="L20" s="9" t="s">
        <v>23</v>
      </c>
      <c r="M20" s="9"/>
      <c r="N20" s="9"/>
      <c r="O20" s="9"/>
      <c r="P20" s="9"/>
      <c r="Q20" s="9"/>
      <c r="R20" s="9"/>
      <c r="S20" s="9"/>
      <c r="T20" s="9"/>
      <c r="U20" s="9"/>
      <c r="V20" s="9"/>
      <c r="W20" s="9"/>
      <c r="X20" s="9"/>
      <c r="Y20" s="9" t="s">
        <v>812</v>
      </c>
      <c r="Z20" s="8"/>
    </row>
    <row r="21" spans="1:26" ht="100.8">
      <c r="A21" s="9" t="s">
        <v>89</v>
      </c>
      <c r="B21" s="9" t="s">
        <v>90</v>
      </c>
      <c r="C21" s="9" t="s">
        <v>866</v>
      </c>
      <c r="D21" s="9" t="s">
        <v>91</v>
      </c>
      <c r="E21" s="9" t="s">
        <v>862</v>
      </c>
      <c r="F21" s="9"/>
      <c r="G21" s="9"/>
      <c r="H21" s="9" t="s">
        <v>717</v>
      </c>
      <c r="I21" s="9"/>
      <c r="J21" s="9"/>
      <c r="K21" s="9" t="s">
        <v>753</v>
      </c>
      <c r="L21" s="9" t="s">
        <v>23</v>
      </c>
      <c r="M21" s="9"/>
      <c r="N21" s="9"/>
      <c r="O21" s="9"/>
      <c r="P21" s="9"/>
      <c r="Q21" s="9"/>
      <c r="R21" s="9"/>
      <c r="S21" s="9"/>
      <c r="T21" s="9"/>
      <c r="U21" s="9"/>
      <c r="V21" s="9"/>
      <c r="W21" s="9"/>
      <c r="X21" s="9"/>
      <c r="Y21" s="9" t="s">
        <v>759</v>
      </c>
      <c r="Z21" s="8"/>
    </row>
    <row r="22" spans="1:26" ht="115.2">
      <c r="A22" s="9" t="s">
        <v>92</v>
      </c>
      <c r="B22" s="9" t="s">
        <v>93</v>
      </c>
      <c r="C22" s="9" t="s">
        <v>94</v>
      </c>
      <c r="D22" s="9" t="s">
        <v>862</v>
      </c>
      <c r="E22" s="9" t="s">
        <v>862</v>
      </c>
      <c r="F22" s="9"/>
      <c r="G22" s="9"/>
      <c r="H22" s="9" t="s">
        <v>714</v>
      </c>
      <c r="I22" s="9"/>
      <c r="J22" s="9"/>
      <c r="K22" s="9" t="s">
        <v>755</v>
      </c>
      <c r="L22" s="9" t="s">
        <v>23</v>
      </c>
      <c r="M22" s="9"/>
      <c r="N22" s="9"/>
      <c r="O22" s="9"/>
      <c r="P22" s="9"/>
      <c r="Q22" s="9"/>
      <c r="R22" s="9"/>
      <c r="S22" s="9"/>
      <c r="T22" s="9"/>
      <c r="U22" s="9"/>
      <c r="V22" s="9"/>
      <c r="W22" s="9"/>
      <c r="X22" s="9"/>
      <c r="Y22" s="9" t="s">
        <v>760</v>
      </c>
      <c r="Z22" s="8"/>
    </row>
    <row r="23" spans="1:26" ht="115.2">
      <c r="A23" s="9" t="s">
        <v>95</v>
      </c>
      <c r="B23" s="9" t="s">
        <v>96</v>
      </c>
      <c r="C23" s="9" t="s">
        <v>867</v>
      </c>
      <c r="D23" s="9" t="s">
        <v>97</v>
      </c>
      <c r="E23" s="9" t="s">
        <v>925</v>
      </c>
      <c r="F23" s="9"/>
      <c r="G23" s="9"/>
      <c r="H23" s="9" t="s">
        <v>716</v>
      </c>
      <c r="I23" s="9"/>
      <c r="J23" s="9"/>
      <c r="K23" s="9" t="e">
        <v>#N/A</v>
      </c>
      <c r="L23" s="9" t="s">
        <v>23</v>
      </c>
      <c r="M23" s="9"/>
      <c r="N23" s="9"/>
      <c r="O23" s="9"/>
      <c r="P23" s="9"/>
      <c r="Q23" s="9"/>
      <c r="R23" s="9"/>
      <c r="S23" s="9"/>
      <c r="T23" s="9"/>
      <c r="U23" s="9"/>
      <c r="V23" s="9"/>
      <c r="W23" s="9"/>
      <c r="X23" s="9" t="s">
        <v>56</v>
      </c>
      <c r="Y23" s="9" t="s">
        <v>813</v>
      </c>
      <c r="Z23" s="8"/>
    </row>
    <row r="24" spans="1:26" ht="129.6">
      <c r="A24" s="9" t="s">
        <v>98</v>
      </c>
      <c r="B24" s="9" t="s">
        <v>99</v>
      </c>
      <c r="C24" s="9" t="s">
        <v>868</v>
      </c>
      <c r="D24" s="9" t="s">
        <v>100</v>
      </c>
      <c r="E24" s="9" t="s">
        <v>925</v>
      </c>
      <c r="F24" s="9"/>
      <c r="G24" s="9"/>
      <c r="H24" s="9" t="s">
        <v>718</v>
      </c>
      <c r="I24" s="9"/>
      <c r="J24" s="9"/>
      <c r="K24" s="9" t="s">
        <v>753</v>
      </c>
      <c r="L24" s="9" t="s">
        <v>23</v>
      </c>
      <c r="M24" s="9"/>
      <c r="N24" s="9"/>
      <c r="O24" s="9"/>
      <c r="P24" s="9"/>
      <c r="Q24" s="9"/>
      <c r="R24" s="9"/>
      <c r="S24" s="9"/>
      <c r="T24" s="9"/>
      <c r="U24" s="9"/>
      <c r="V24" s="9"/>
      <c r="W24" s="9"/>
      <c r="X24" s="9" t="s">
        <v>69</v>
      </c>
      <c r="Y24" s="9" t="s">
        <v>814</v>
      </c>
      <c r="Z24" s="8"/>
    </row>
    <row r="25" spans="1:26" ht="115.2">
      <c r="A25" s="9" t="s">
        <v>101</v>
      </c>
      <c r="B25" s="9" t="s">
        <v>102</v>
      </c>
      <c r="C25" s="9" t="s">
        <v>869</v>
      </c>
      <c r="D25" s="9" t="s">
        <v>103</v>
      </c>
      <c r="E25" s="9" t="s">
        <v>925</v>
      </c>
      <c r="F25" s="9"/>
      <c r="G25" s="9"/>
      <c r="H25" s="9" t="s">
        <v>716</v>
      </c>
      <c r="I25" s="9"/>
      <c r="J25" s="9"/>
      <c r="K25" s="9" t="s">
        <v>753</v>
      </c>
      <c r="L25" s="9" t="s">
        <v>23</v>
      </c>
      <c r="M25" s="9"/>
      <c r="N25" s="9"/>
      <c r="O25" s="9"/>
      <c r="P25" s="9"/>
      <c r="Q25" s="9"/>
      <c r="R25" s="9"/>
      <c r="S25" s="9"/>
      <c r="T25" s="9"/>
      <c r="U25" s="9"/>
      <c r="V25" s="9"/>
      <c r="W25" s="9"/>
      <c r="X25" s="9" t="s">
        <v>25</v>
      </c>
      <c r="Y25" s="9" t="s">
        <v>815</v>
      </c>
      <c r="Z25" s="8"/>
    </row>
    <row r="26" spans="1:26" ht="86.4">
      <c r="A26" s="9" t="s">
        <v>104</v>
      </c>
      <c r="B26" s="9" t="s">
        <v>105</v>
      </c>
      <c r="C26" s="9" t="s">
        <v>870</v>
      </c>
      <c r="D26" s="9" t="s">
        <v>106</v>
      </c>
      <c r="E26" s="9" t="s">
        <v>862</v>
      </c>
      <c r="F26" s="9"/>
      <c r="G26" s="9"/>
      <c r="H26" s="9" t="s">
        <v>711</v>
      </c>
      <c r="I26" s="9"/>
      <c r="J26" s="9"/>
      <c r="K26" s="9" t="s">
        <v>753</v>
      </c>
      <c r="L26" s="9" t="s">
        <v>23</v>
      </c>
      <c r="M26" s="9"/>
      <c r="N26" s="9"/>
      <c r="O26" s="9"/>
      <c r="P26" s="9"/>
      <c r="Q26" s="9"/>
      <c r="R26" s="9"/>
      <c r="S26" s="9"/>
      <c r="T26" s="9"/>
      <c r="U26" s="9"/>
      <c r="V26" s="9"/>
      <c r="W26" s="9"/>
      <c r="X26" s="9" t="s">
        <v>25</v>
      </c>
      <c r="Y26" s="9" t="s">
        <v>816</v>
      </c>
      <c r="Z26" s="8"/>
    </row>
    <row r="27" spans="1:26" ht="158.4">
      <c r="A27" s="9" t="s">
        <v>107</v>
      </c>
      <c r="B27" s="9" t="s">
        <v>109</v>
      </c>
      <c r="C27" s="9" t="s">
        <v>871</v>
      </c>
      <c r="D27" s="9" t="s">
        <v>110</v>
      </c>
      <c r="E27" s="9" t="s">
        <v>925</v>
      </c>
      <c r="F27" s="9"/>
      <c r="G27" s="9"/>
      <c r="H27" s="9" t="s">
        <v>716</v>
      </c>
      <c r="I27" s="9"/>
      <c r="J27" s="9"/>
      <c r="K27" s="9" t="s">
        <v>754</v>
      </c>
      <c r="L27" s="9" t="s">
        <v>23</v>
      </c>
      <c r="M27" s="9"/>
      <c r="N27" s="9"/>
      <c r="O27" s="9"/>
      <c r="P27" s="9"/>
      <c r="Q27" s="9"/>
      <c r="R27" s="9"/>
      <c r="S27" s="9"/>
      <c r="T27" s="9"/>
      <c r="U27" s="9"/>
      <c r="V27" s="9"/>
      <c r="W27" s="9"/>
      <c r="X27" s="9" t="s">
        <v>108</v>
      </c>
      <c r="Y27" s="9" t="s">
        <v>817</v>
      </c>
      <c r="Z27" s="8"/>
    </row>
    <row r="28" spans="1:26" ht="129.6">
      <c r="A28" s="9" t="s">
        <v>111</v>
      </c>
      <c r="B28" s="9" t="s">
        <v>112</v>
      </c>
      <c r="C28" s="9" t="s">
        <v>872</v>
      </c>
      <c r="D28" s="9" t="s">
        <v>113</v>
      </c>
      <c r="E28" s="9" t="s">
        <v>862</v>
      </c>
      <c r="F28" s="9"/>
      <c r="G28" s="9"/>
      <c r="H28" s="9" t="s">
        <v>716</v>
      </c>
      <c r="I28" s="9"/>
      <c r="J28" s="9"/>
      <c r="K28" s="9" t="s">
        <v>753</v>
      </c>
      <c r="L28" s="9" t="s">
        <v>23</v>
      </c>
      <c r="M28" s="9"/>
      <c r="N28" s="9"/>
      <c r="O28" s="9"/>
      <c r="P28" s="9"/>
      <c r="Q28" s="9"/>
      <c r="R28" s="9"/>
      <c r="S28" s="9"/>
      <c r="T28" s="9"/>
      <c r="U28" s="9"/>
      <c r="V28" s="9"/>
      <c r="W28" s="9"/>
      <c r="X28" s="9" t="s">
        <v>56</v>
      </c>
      <c r="Y28" s="9" t="s">
        <v>818</v>
      </c>
      <c r="Z28" s="8"/>
    </row>
    <row r="29" spans="1:26" ht="187.2">
      <c r="A29" s="9" t="s">
        <v>114</v>
      </c>
      <c r="B29" s="9" t="s">
        <v>115</v>
      </c>
      <c r="C29" s="9" t="s">
        <v>873</v>
      </c>
      <c r="D29" s="9" t="s">
        <v>116</v>
      </c>
      <c r="E29" s="9" t="s">
        <v>862</v>
      </c>
      <c r="F29" s="9"/>
      <c r="G29" s="9"/>
      <c r="H29" s="9" t="s">
        <v>711</v>
      </c>
      <c r="I29" s="9"/>
      <c r="J29" s="9"/>
      <c r="K29" s="9" t="s">
        <v>753</v>
      </c>
      <c r="L29" s="9" t="s">
        <v>23</v>
      </c>
      <c r="M29" s="9"/>
      <c r="N29" s="9"/>
      <c r="O29" s="9"/>
      <c r="P29" s="9"/>
      <c r="Q29" s="9"/>
      <c r="R29" s="9"/>
      <c r="S29" s="9"/>
      <c r="T29" s="9"/>
      <c r="U29" s="9"/>
      <c r="V29" s="9"/>
      <c r="W29" s="9"/>
      <c r="X29" s="9" t="s">
        <v>25</v>
      </c>
      <c r="Y29" s="9" t="s">
        <v>819</v>
      </c>
      <c r="Z29" s="8"/>
    </row>
    <row r="30" spans="1:26" ht="144">
      <c r="A30" s="9" t="s">
        <v>117</v>
      </c>
      <c r="B30" s="9" t="s">
        <v>119</v>
      </c>
      <c r="C30" s="9" t="s">
        <v>874</v>
      </c>
      <c r="D30" s="9" t="s">
        <v>120</v>
      </c>
      <c r="E30" s="9" t="s">
        <v>925</v>
      </c>
      <c r="F30" s="9"/>
      <c r="G30" s="9"/>
      <c r="H30" s="9" t="s">
        <v>722</v>
      </c>
      <c r="I30" s="9"/>
      <c r="J30" s="9"/>
      <c r="K30" s="9" t="s">
        <v>753</v>
      </c>
      <c r="L30" s="9" t="s">
        <v>23</v>
      </c>
      <c r="M30" s="9"/>
      <c r="N30" s="9"/>
      <c r="O30" s="9"/>
      <c r="P30" s="9"/>
      <c r="Q30" s="9"/>
      <c r="R30" s="9"/>
      <c r="S30" s="9"/>
      <c r="T30" s="9"/>
      <c r="U30" s="9"/>
      <c r="V30" s="9"/>
      <c r="W30" s="9"/>
      <c r="X30" s="9" t="s">
        <v>118</v>
      </c>
      <c r="Y30" s="9" t="s">
        <v>820</v>
      </c>
      <c r="Z30" s="8"/>
    </row>
    <row r="31" spans="1:26" ht="244.8">
      <c r="A31" s="9" t="s">
        <v>121</v>
      </c>
      <c r="B31" s="9" t="s">
        <v>122</v>
      </c>
      <c r="C31" s="9" t="s">
        <v>875</v>
      </c>
      <c r="D31" s="9" t="s">
        <v>123</v>
      </c>
      <c r="E31" s="9" t="s">
        <v>862</v>
      </c>
      <c r="F31" s="9"/>
      <c r="G31" s="9"/>
      <c r="H31" s="9" t="s">
        <v>711</v>
      </c>
      <c r="I31" s="9"/>
      <c r="J31" s="9"/>
      <c r="K31" s="9" t="s">
        <v>753</v>
      </c>
      <c r="L31" s="9" t="s">
        <v>23</v>
      </c>
      <c r="M31" s="9"/>
      <c r="N31" s="9"/>
      <c r="O31" s="9"/>
      <c r="P31" s="9"/>
      <c r="Q31" s="9"/>
      <c r="R31" s="9"/>
      <c r="S31" s="9"/>
      <c r="T31" s="9"/>
      <c r="U31" s="9"/>
      <c r="V31" s="9"/>
      <c r="W31" s="9"/>
      <c r="X31" s="9" t="s">
        <v>56</v>
      </c>
      <c r="Y31" s="9" t="s">
        <v>821</v>
      </c>
      <c r="Z31" s="8"/>
    </row>
    <row r="32" spans="1:26" ht="144">
      <c r="A32" s="9" t="s">
        <v>124</v>
      </c>
      <c r="B32" s="9" t="s">
        <v>125</v>
      </c>
      <c r="C32" s="9" t="s">
        <v>126</v>
      </c>
      <c r="D32" s="9" t="s">
        <v>862</v>
      </c>
      <c r="E32" s="9" t="s">
        <v>862</v>
      </c>
      <c r="F32" s="9"/>
      <c r="G32" s="9"/>
      <c r="H32" s="9" t="s">
        <v>711</v>
      </c>
      <c r="I32" s="9"/>
      <c r="J32" s="9"/>
      <c r="K32" s="9" t="s">
        <v>753</v>
      </c>
      <c r="L32" s="9" t="s">
        <v>23</v>
      </c>
      <c r="M32" s="9"/>
      <c r="N32" s="9"/>
      <c r="O32" s="9"/>
      <c r="P32" s="9"/>
      <c r="Q32" s="9"/>
      <c r="R32" s="9"/>
      <c r="S32" s="9"/>
      <c r="T32" s="9"/>
      <c r="U32" s="9"/>
      <c r="V32" s="9"/>
      <c r="W32" s="9"/>
      <c r="X32" s="9" t="s">
        <v>56</v>
      </c>
      <c r="Y32" s="9" t="s">
        <v>822</v>
      </c>
      <c r="Z32" s="8"/>
    </row>
    <row r="33" spans="1:26" ht="72">
      <c r="A33" s="9" t="s">
        <v>127</v>
      </c>
      <c r="B33" s="9" t="s">
        <v>129</v>
      </c>
      <c r="C33" s="9" t="s">
        <v>876</v>
      </c>
      <c r="D33" s="9" t="s">
        <v>130</v>
      </c>
      <c r="E33" s="9" t="s">
        <v>925</v>
      </c>
      <c r="F33" s="9"/>
      <c r="G33" s="9"/>
      <c r="H33" s="9" t="e">
        <v>#N/A</v>
      </c>
      <c r="I33" s="9"/>
      <c r="J33" s="9"/>
      <c r="K33" s="9" t="s">
        <v>753</v>
      </c>
      <c r="L33" s="9" t="s">
        <v>23</v>
      </c>
      <c r="M33" s="9"/>
      <c r="N33" s="9"/>
      <c r="O33" s="9"/>
      <c r="P33" s="9"/>
      <c r="Q33" s="9"/>
      <c r="R33" s="9"/>
      <c r="S33" s="9"/>
      <c r="T33" s="9"/>
      <c r="U33" s="9"/>
      <c r="V33" s="9"/>
      <c r="W33" s="9"/>
      <c r="X33" s="9" t="s">
        <v>128</v>
      </c>
      <c r="Y33" s="9" t="s">
        <v>823</v>
      </c>
      <c r="Z33" s="8"/>
    </row>
    <row r="34" spans="1:26" ht="100.8">
      <c r="A34" s="9" t="s">
        <v>131</v>
      </c>
      <c r="B34" s="9" t="s">
        <v>133</v>
      </c>
      <c r="C34" s="9" t="s">
        <v>877</v>
      </c>
      <c r="D34" s="9" t="s">
        <v>134</v>
      </c>
      <c r="E34" s="9" t="s">
        <v>925</v>
      </c>
      <c r="F34" s="9"/>
      <c r="G34" s="9"/>
      <c r="H34" s="9" t="e">
        <v>#N/A</v>
      </c>
      <c r="I34" s="9"/>
      <c r="J34" s="9"/>
      <c r="K34" s="9" t="s">
        <v>754</v>
      </c>
      <c r="L34" s="9" t="s">
        <v>23</v>
      </c>
      <c r="M34" s="9"/>
      <c r="N34" s="9"/>
      <c r="O34" s="9"/>
      <c r="P34" s="9"/>
      <c r="Q34" s="9"/>
      <c r="R34" s="9"/>
      <c r="S34" s="9"/>
      <c r="T34" s="9"/>
      <c r="U34" s="9"/>
      <c r="V34" s="9"/>
      <c r="W34" s="9"/>
      <c r="X34" s="9" t="s">
        <v>132</v>
      </c>
      <c r="Y34" s="9" t="s">
        <v>824</v>
      </c>
      <c r="Z34" s="8"/>
    </row>
    <row r="35" spans="1:26" ht="100.8">
      <c r="A35" s="9" t="s">
        <v>135</v>
      </c>
      <c r="B35" s="9" t="s">
        <v>137</v>
      </c>
      <c r="C35" s="9" t="s">
        <v>878</v>
      </c>
      <c r="D35" s="9" t="s">
        <v>138</v>
      </c>
      <c r="E35" s="9" t="s">
        <v>925</v>
      </c>
      <c r="F35" s="9"/>
      <c r="G35" s="9"/>
      <c r="H35" s="9" t="e">
        <v>#N/A</v>
      </c>
      <c r="I35" s="9"/>
      <c r="J35" s="9"/>
      <c r="K35" s="9" t="s">
        <v>753</v>
      </c>
      <c r="L35" s="9" t="s">
        <v>23</v>
      </c>
      <c r="M35" s="9"/>
      <c r="N35" s="9"/>
      <c r="O35" s="9"/>
      <c r="P35" s="9"/>
      <c r="Q35" s="9"/>
      <c r="R35" s="9"/>
      <c r="S35" s="9"/>
      <c r="T35" s="9"/>
      <c r="U35" s="9"/>
      <c r="V35" s="9"/>
      <c r="W35" s="9"/>
      <c r="X35" s="9" t="s">
        <v>136</v>
      </c>
      <c r="Y35" s="9" t="s">
        <v>825</v>
      </c>
      <c r="Z35" s="8"/>
    </row>
    <row r="36" spans="1:26" ht="86.4">
      <c r="A36" s="9" t="s">
        <v>139</v>
      </c>
      <c r="B36" s="9" t="s">
        <v>141</v>
      </c>
      <c r="C36" s="9" t="s">
        <v>879</v>
      </c>
      <c r="D36" s="9" t="s">
        <v>142</v>
      </c>
      <c r="E36" s="9" t="s">
        <v>925</v>
      </c>
      <c r="F36" s="9"/>
      <c r="G36" s="9"/>
      <c r="H36" s="9" t="e">
        <v>#N/A</v>
      </c>
      <c r="I36" s="9"/>
      <c r="J36" s="9"/>
      <c r="K36" s="9" t="s">
        <v>753</v>
      </c>
      <c r="L36" s="9" t="s">
        <v>23</v>
      </c>
      <c r="M36" s="9"/>
      <c r="N36" s="9"/>
      <c r="O36" s="9"/>
      <c r="P36" s="9"/>
      <c r="Q36" s="9"/>
      <c r="R36" s="9"/>
      <c r="S36" s="9"/>
      <c r="T36" s="9"/>
      <c r="U36" s="9"/>
      <c r="V36" s="9"/>
      <c r="W36" s="9"/>
      <c r="X36" s="9" t="s">
        <v>140</v>
      </c>
      <c r="Y36" s="9" t="s">
        <v>826</v>
      </c>
      <c r="Z36" s="8"/>
    </row>
    <row r="37" spans="1:26" ht="86.4">
      <c r="A37" s="9" t="s">
        <v>143</v>
      </c>
      <c r="B37" s="9" t="s">
        <v>145</v>
      </c>
      <c r="C37" s="9" t="s">
        <v>880</v>
      </c>
      <c r="D37" s="9" t="s">
        <v>146</v>
      </c>
      <c r="E37" s="9" t="s">
        <v>925</v>
      </c>
      <c r="F37" s="9"/>
      <c r="G37" s="9"/>
      <c r="H37" s="9" t="e">
        <v>#N/A</v>
      </c>
      <c r="I37" s="9"/>
      <c r="J37" s="9"/>
      <c r="K37" s="9" t="e">
        <v>#N/A</v>
      </c>
      <c r="L37" s="9" t="s">
        <v>23</v>
      </c>
      <c r="M37" s="9"/>
      <c r="N37" s="9"/>
      <c r="O37" s="9"/>
      <c r="P37" s="9"/>
      <c r="Q37" s="9"/>
      <c r="R37" s="9"/>
      <c r="S37" s="9"/>
      <c r="T37" s="9"/>
      <c r="U37" s="9"/>
      <c r="V37" s="9"/>
      <c r="W37" s="9"/>
      <c r="X37" s="9" t="s">
        <v>144</v>
      </c>
      <c r="Y37" s="9" t="s">
        <v>827</v>
      </c>
      <c r="Z37" s="8"/>
    </row>
    <row r="38" spans="1:26" ht="72">
      <c r="A38" s="9" t="s">
        <v>147</v>
      </c>
      <c r="B38" s="9" t="s">
        <v>148</v>
      </c>
      <c r="C38" s="9" t="s">
        <v>149</v>
      </c>
      <c r="D38" s="9" t="s">
        <v>862</v>
      </c>
      <c r="E38" s="9" t="s">
        <v>862</v>
      </c>
      <c r="F38" s="9"/>
      <c r="G38" s="9"/>
      <c r="H38" s="9" t="e">
        <v>#N/A</v>
      </c>
      <c r="I38" s="9"/>
      <c r="J38" s="9"/>
      <c r="K38" s="9" t="s">
        <v>753</v>
      </c>
      <c r="L38" s="9" t="s">
        <v>23</v>
      </c>
      <c r="M38" s="9"/>
      <c r="N38" s="9"/>
      <c r="O38" s="9"/>
      <c r="P38" s="9"/>
      <c r="Q38" s="9"/>
      <c r="R38" s="9"/>
      <c r="S38" s="9"/>
      <c r="T38" s="9"/>
      <c r="U38" s="9"/>
      <c r="V38" s="9"/>
      <c r="W38" s="9"/>
      <c r="X38" s="9"/>
      <c r="Y38" s="9" t="s">
        <v>828</v>
      </c>
      <c r="Z38" s="8"/>
    </row>
    <row r="39" spans="1:26" ht="100.8">
      <c r="A39" s="9" t="s">
        <v>150</v>
      </c>
      <c r="B39" s="9" t="s">
        <v>152</v>
      </c>
      <c r="C39" s="9" t="s">
        <v>153</v>
      </c>
      <c r="D39" s="9" t="s">
        <v>862</v>
      </c>
      <c r="E39" s="9" t="s">
        <v>925</v>
      </c>
      <c r="F39" s="9"/>
      <c r="G39" s="9"/>
      <c r="H39" s="9" t="e">
        <v>#N/A</v>
      </c>
      <c r="I39" s="9"/>
      <c r="J39" s="9"/>
      <c r="K39" s="9" t="s">
        <v>753</v>
      </c>
      <c r="L39" s="9" t="s">
        <v>23</v>
      </c>
      <c r="M39" s="9"/>
      <c r="N39" s="9"/>
      <c r="O39" s="9"/>
      <c r="P39" s="9"/>
      <c r="Q39" s="9"/>
      <c r="R39" s="9"/>
      <c r="S39" s="9"/>
      <c r="T39" s="9"/>
      <c r="U39" s="9"/>
      <c r="V39" s="9"/>
      <c r="W39" s="9"/>
      <c r="X39" s="9" t="s">
        <v>151</v>
      </c>
      <c r="Y39" s="9" t="s">
        <v>761</v>
      </c>
      <c r="Z39" s="8"/>
    </row>
    <row r="40" spans="1:26" ht="86.4">
      <c r="A40" s="9" t="s">
        <v>154</v>
      </c>
      <c r="B40" s="9" t="s">
        <v>156</v>
      </c>
      <c r="C40" s="9" t="s">
        <v>157</v>
      </c>
      <c r="D40" s="9" t="s">
        <v>862</v>
      </c>
      <c r="E40" s="9" t="s">
        <v>925</v>
      </c>
      <c r="F40" s="9"/>
      <c r="G40" s="9"/>
      <c r="H40" s="9" t="s">
        <v>723</v>
      </c>
      <c r="I40" s="9"/>
      <c r="J40" s="9"/>
      <c r="K40" s="9" t="s">
        <v>754</v>
      </c>
      <c r="L40" s="9" t="s">
        <v>23</v>
      </c>
      <c r="M40" s="9"/>
      <c r="N40" s="9"/>
      <c r="O40" s="9"/>
      <c r="P40" s="9"/>
      <c r="Q40" s="9"/>
      <c r="R40" s="9"/>
      <c r="S40" s="9"/>
      <c r="T40" s="9"/>
      <c r="U40" s="9"/>
      <c r="V40" s="9"/>
      <c r="W40" s="9"/>
      <c r="X40" s="9" t="s">
        <v>155</v>
      </c>
      <c r="Y40" s="9" t="s">
        <v>762</v>
      </c>
      <c r="Z40" s="8"/>
    </row>
    <row r="41" spans="1:26" ht="144">
      <c r="A41" s="9" t="s">
        <v>158</v>
      </c>
      <c r="B41" s="9" t="s">
        <v>160</v>
      </c>
      <c r="C41" s="9" t="s">
        <v>881</v>
      </c>
      <c r="D41" s="9" t="s">
        <v>161</v>
      </c>
      <c r="E41" s="9" t="s">
        <v>925</v>
      </c>
      <c r="F41" s="9"/>
      <c r="G41" s="9"/>
      <c r="H41" s="9" t="s">
        <v>723</v>
      </c>
      <c r="I41" s="9"/>
      <c r="J41" s="9"/>
      <c r="K41" s="9" t="s">
        <v>754</v>
      </c>
      <c r="L41" s="9" t="s">
        <v>23</v>
      </c>
      <c r="M41" s="9"/>
      <c r="N41" s="9"/>
      <c r="O41" s="9"/>
      <c r="P41" s="9"/>
      <c r="Q41" s="9"/>
      <c r="R41" s="9"/>
      <c r="S41" s="9"/>
      <c r="T41" s="9"/>
      <c r="U41" s="9"/>
      <c r="V41" s="9"/>
      <c r="W41" s="9"/>
      <c r="X41" s="9" t="s">
        <v>159</v>
      </c>
      <c r="Y41" s="9" t="s">
        <v>829</v>
      </c>
      <c r="Z41" s="8"/>
    </row>
    <row r="42" spans="1:26" ht="129.6">
      <c r="A42" s="9" t="s">
        <v>162</v>
      </c>
      <c r="B42" s="9" t="s">
        <v>164</v>
      </c>
      <c r="C42" s="9" t="s">
        <v>882</v>
      </c>
      <c r="D42" s="9" t="s">
        <v>165</v>
      </c>
      <c r="E42" s="9" t="s">
        <v>925</v>
      </c>
      <c r="F42" s="9"/>
      <c r="G42" s="9"/>
      <c r="H42" s="9" t="s">
        <v>724</v>
      </c>
      <c r="I42" s="9"/>
      <c r="J42" s="9"/>
      <c r="K42" s="9" t="s">
        <v>754</v>
      </c>
      <c r="L42" s="9" t="s">
        <v>23</v>
      </c>
      <c r="M42" s="9"/>
      <c r="N42" s="9"/>
      <c r="O42" s="9"/>
      <c r="P42" s="9"/>
      <c r="Q42" s="9"/>
      <c r="R42" s="9"/>
      <c r="S42" s="9"/>
      <c r="T42" s="9"/>
      <c r="U42" s="9"/>
      <c r="V42" s="9"/>
      <c r="W42" s="9"/>
      <c r="X42" s="9" t="s">
        <v>163</v>
      </c>
      <c r="Y42" s="9" t="s">
        <v>830</v>
      </c>
      <c r="Z42" s="8"/>
    </row>
    <row r="43" spans="1:26" ht="100.8">
      <c r="A43" s="9" t="s">
        <v>166</v>
      </c>
      <c r="B43" s="9" t="s">
        <v>168</v>
      </c>
      <c r="C43" s="9" t="s">
        <v>883</v>
      </c>
      <c r="D43" s="9" t="s">
        <v>169</v>
      </c>
      <c r="E43" s="9" t="s">
        <v>925</v>
      </c>
      <c r="F43" s="9"/>
      <c r="G43" s="9"/>
      <c r="H43" s="9" t="s">
        <v>723</v>
      </c>
      <c r="I43" s="9"/>
      <c r="J43" s="9"/>
      <c r="K43" s="9" t="e">
        <v>#N/A</v>
      </c>
      <c r="L43" s="9" t="s">
        <v>23</v>
      </c>
      <c r="M43" s="9"/>
      <c r="N43" s="9"/>
      <c r="O43" s="9"/>
      <c r="P43" s="9"/>
      <c r="Q43" s="9"/>
      <c r="R43" s="9"/>
      <c r="S43" s="9"/>
      <c r="T43" s="9"/>
      <c r="U43" s="9"/>
      <c r="V43" s="9"/>
      <c r="W43" s="9"/>
      <c r="X43" s="9" t="s">
        <v>167</v>
      </c>
      <c r="Y43" s="9" t="s">
        <v>831</v>
      </c>
      <c r="Z43" s="8"/>
    </row>
    <row r="44" spans="1:26" ht="158.4">
      <c r="A44" s="9" t="s">
        <v>170</v>
      </c>
      <c r="B44" s="9" t="s">
        <v>172</v>
      </c>
      <c r="C44" s="9" t="s">
        <v>884</v>
      </c>
      <c r="D44" s="9" t="s">
        <v>173</v>
      </c>
      <c r="E44" s="9" t="s">
        <v>862</v>
      </c>
      <c r="F44" s="9"/>
      <c r="G44" s="9"/>
      <c r="H44" s="9" t="s">
        <v>725</v>
      </c>
      <c r="I44" s="9"/>
      <c r="J44" s="9"/>
      <c r="K44" s="9" t="e">
        <v>#N/A</v>
      </c>
      <c r="L44" s="9" t="s">
        <v>23</v>
      </c>
      <c r="M44" s="9"/>
      <c r="N44" s="9"/>
      <c r="O44" s="9"/>
      <c r="P44" s="9"/>
      <c r="Q44" s="9"/>
      <c r="R44" s="9"/>
      <c r="S44" s="9"/>
      <c r="T44" s="9"/>
      <c r="U44" s="9"/>
      <c r="V44" s="9"/>
      <c r="W44" s="9"/>
      <c r="X44" s="9" t="s">
        <v>171</v>
      </c>
      <c r="Y44" s="9" t="s">
        <v>832</v>
      </c>
      <c r="Z44" s="8"/>
    </row>
    <row r="45" spans="1:26" ht="115.2">
      <c r="A45" s="9" t="s">
        <v>174</v>
      </c>
      <c r="B45" s="9" t="s">
        <v>176</v>
      </c>
      <c r="C45" s="9" t="s">
        <v>885</v>
      </c>
      <c r="D45" s="9" t="s">
        <v>177</v>
      </c>
      <c r="E45" s="9" t="s">
        <v>925</v>
      </c>
      <c r="F45" s="9"/>
      <c r="G45" s="9"/>
      <c r="H45" s="9" t="s">
        <v>725</v>
      </c>
      <c r="I45" s="9"/>
      <c r="J45" s="9"/>
      <c r="K45" s="9" t="s">
        <v>754</v>
      </c>
      <c r="L45" s="9" t="s">
        <v>23</v>
      </c>
      <c r="M45" s="9"/>
      <c r="N45" s="9"/>
      <c r="O45" s="9"/>
      <c r="P45" s="9"/>
      <c r="Q45" s="9"/>
      <c r="R45" s="9"/>
      <c r="S45" s="9"/>
      <c r="T45" s="9"/>
      <c r="U45" s="9"/>
      <c r="V45" s="9"/>
      <c r="W45" s="9"/>
      <c r="X45" s="9" t="s">
        <v>175</v>
      </c>
      <c r="Y45" s="9" t="s">
        <v>833</v>
      </c>
      <c r="Z45" s="8"/>
    </row>
    <row r="46" spans="1:26" ht="100.8">
      <c r="A46" s="9" t="s">
        <v>178</v>
      </c>
      <c r="B46" s="9" t="s">
        <v>180</v>
      </c>
      <c r="C46" s="9" t="s">
        <v>886</v>
      </c>
      <c r="D46" s="9" t="s">
        <v>181</v>
      </c>
      <c r="E46" s="9" t="s">
        <v>862</v>
      </c>
      <c r="F46" s="9"/>
      <c r="G46" s="9"/>
      <c r="H46" s="9" t="s">
        <v>726</v>
      </c>
      <c r="I46" s="9"/>
      <c r="J46" s="9"/>
      <c r="K46" s="9" t="s">
        <v>754</v>
      </c>
      <c r="L46" s="9" t="s">
        <v>23</v>
      </c>
      <c r="M46" s="9"/>
      <c r="N46" s="9"/>
      <c r="O46" s="9"/>
      <c r="P46" s="9"/>
      <c r="Q46" s="9"/>
      <c r="R46" s="9"/>
      <c r="S46" s="9"/>
      <c r="T46" s="9"/>
      <c r="U46" s="9"/>
      <c r="V46" s="9"/>
      <c r="W46" s="9"/>
      <c r="X46" s="9" t="s">
        <v>179</v>
      </c>
      <c r="Y46" s="9" t="s">
        <v>834</v>
      </c>
      <c r="Z46" s="8"/>
    </row>
    <row r="47" spans="1:26" ht="86.4">
      <c r="A47" s="9" t="s">
        <v>182</v>
      </c>
      <c r="B47" s="9" t="s">
        <v>184</v>
      </c>
      <c r="C47" s="9" t="s">
        <v>185</v>
      </c>
      <c r="D47" s="9" t="s">
        <v>862</v>
      </c>
      <c r="E47" s="9" t="s">
        <v>925</v>
      </c>
      <c r="F47" s="9"/>
      <c r="G47" s="9"/>
      <c r="H47" s="9" t="s">
        <v>725</v>
      </c>
      <c r="I47" s="9"/>
      <c r="J47" s="9"/>
      <c r="K47" s="9" t="e">
        <v>#N/A</v>
      </c>
      <c r="L47" s="9" t="s">
        <v>23</v>
      </c>
      <c r="M47" s="9"/>
      <c r="N47" s="9"/>
      <c r="O47" s="9"/>
      <c r="P47" s="9"/>
      <c r="Q47" s="9"/>
      <c r="R47" s="9"/>
      <c r="S47" s="9"/>
      <c r="T47" s="9"/>
      <c r="U47" s="9"/>
      <c r="V47" s="9"/>
      <c r="W47" s="9"/>
      <c r="X47" s="9" t="s">
        <v>183</v>
      </c>
      <c r="Y47" s="9" t="s">
        <v>605</v>
      </c>
      <c r="Z47" s="8"/>
    </row>
    <row r="48" spans="1:26" ht="100.8">
      <c r="A48" s="9" t="s">
        <v>186</v>
      </c>
      <c r="B48" s="9" t="s">
        <v>188</v>
      </c>
      <c r="C48" s="9" t="s">
        <v>189</v>
      </c>
      <c r="D48" s="9" t="s">
        <v>862</v>
      </c>
      <c r="E48" s="9" t="s">
        <v>925</v>
      </c>
      <c r="F48" s="9"/>
      <c r="G48" s="9"/>
      <c r="H48" s="9" t="s">
        <v>415</v>
      </c>
      <c r="I48" s="9"/>
      <c r="J48" s="9"/>
      <c r="K48" s="9" t="s">
        <v>754</v>
      </c>
      <c r="L48" s="9" t="s">
        <v>23</v>
      </c>
      <c r="M48" s="9"/>
      <c r="N48" s="9"/>
      <c r="O48" s="9"/>
      <c r="P48" s="9"/>
      <c r="Q48" s="9"/>
      <c r="R48" s="9"/>
      <c r="S48" s="9"/>
      <c r="T48" s="9"/>
      <c r="U48" s="9"/>
      <c r="V48" s="9"/>
      <c r="W48" s="9"/>
      <c r="X48" s="9" t="s">
        <v>187</v>
      </c>
      <c r="Y48" s="9" t="s">
        <v>763</v>
      </c>
      <c r="Z48" s="8"/>
    </row>
    <row r="49" spans="1:26" ht="115.2">
      <c r="A49" s="9" t="s">
        <v>190</v>
      </c>
      <c r="B49" s="9" t="s">
        <v>191</v>
      </c>
      <c r="C49" s="9" t="s">
        <v>887</v>
      </c>
      <c r="D49" s="9" t="s">
        <v>192</v>
      </c>
      <c r="E49" s="9" t="s">
        <v>862</v>
      </c>
      <c r="F49" s="9"/>
      <c r="G49" s="9"/>
      <c r="H49" s="9" t="s">
        <v>711</v>
      </c>
      <c r="I49" s="9"/>
      <c r="J49" s="9"/>
      <c r="K49" s="9" t="e">
        <v>#N/A</v>
      </c>
      <c r="L49" s="9" t="s">
        <v>23</v>
      </c>
      <c r="M49" s="9"/>
      <c r="N49" s="9"/>
      <c r="O49" s="9"/>
      <c r="P49" s="9"/>
      <c r="Q49" s="9"/>
      <c r="R49" s="9"/>
      <c r="S49" s="9"/>
      <c r="T49" s="9"/>
      <c r="U49" s="9"/>
      <c r="V49" s="9"/>
      <c r="W49" s="9"/>
      <c r="X49" s="9" t="s">
        <v>25</v>
      </c>
      <c r="Y49" s="9" t="s">
        <v>631</v>
      </c>
      <c r="Z49" s="8"/>
    </row>
    <row r="50" spans="1:26" ht="129.6">
      <c r="A50" s="9" t="s">
        <v>193</v>
      </c>
      <c r="B50" s="9" t="s">
        <v>194</v>
      </c>
      <c r="C50" s="9" t="s">
        <v>195</v>
      </c>
      <c r="D50" s="9" t="s">
        <v>862</v>
      </c>
      <c r="E50" s="9" t="s">
        <v>925</v>
      </c>
      <c r="F50" s="9"/>
      <c r="G50" s="9"/>
      <c r="H50" s="9" t="s">
        <v>727</v>
      </c>
      <c r="I50" s="9"/>
      <c r="J50" s="9"/>
      <c r="K50" s="9" t="e">
        <v>#N/A</v>
      </c>
      <c r="L50" s="9" t="s">
        <v>23</v>
      </c>
      <c r="M50" s="9"/>
      <c r="N50" s="9"/>
      <c r="O50" s="9"/>
      <c r="P50" s="9"/>
      <c r="Q50" s="9"/>
      <c r="R50" s="9"/>
      <c r="S50" s="9"/>
      <c r="T50" s="9"/>
      <c r="U50" s="9"/>
      <c r="V50" s="9"/>
      <c r="W50" s="9"/>
      <c r="X50" s="9"/>
      <c r="Y50" s="9" t="s">
        <v>835</v>
      </c>
      <c r="Z50" s="8"/>
    </row>
    <row r="51" spans="1:26" ht="144">
      <c r="A51" s="9" t="s">
        <v>196</v>
      </c>
      <c r="B51" s="9" t="s">
        <v>197</v>
      </c>
      <c r="C51" s="9" t="s">
        <v>888</v>
      </c>
      <c r="D51" s="9" t="s">
        <v>198</v>
      </c>
      <c r="E51" s="9" t="s">
        <v>862</v>
      </c>
      <c r="F51" s="9"/>
      <c r="G51" s="9"/>
      <c r="H51" s="9" t="s">
        <v>728</v>
      </c>
      <c r="I51" s="9"/>
      <c r="J51" s="9"/>
      <c r="K51" s="9" t="e">
        <v>#N/A</v>
      </c>
      <c r="L51" s="9" t="s">
        <v>23</v>
      </c>
      <c r="M51" s="9"/>
      <c r="N51" s="9"/>
      <c r="O51" s="9"/>
      <c r="P51" s="9"/>
      <c r="Q51" s="9"/>
      <c r="R51" s="9"/>
      <c r="S51" s="9"/>
      <c r="T51" s="9"/>
      <c r="U51" s="9"/>
      <c r="V51" s="9"/>
      <c r="W51" s="9"/>
      <c r="X51" s="9" t="s">
        <v>118</v>
      </c>
      <c r="Y51" s="9" t="s">
        <v>836</v>
      </c>
      <c r="Z51" s="8"/>
    </row>
    <row r="52" spans="1:26" ht="129.6">
      <c r="A52" s="9" t="s">
        <v>199</v>
      </c>
      <c r="B52" s="9" t="s">
        <v>201</v>
      </c>
      <c r="C52" s="9" t="s">
        <v>889</v>
      </c>
      <c r="D52" s="9" t="s">
        <v>202</v>
      </c>
      <c r="E52" s="9" t="s">
        <v>862</v>
      </c>
      <c r="F52" s="9"/>
      <c r="G52" s="9"/>
      <c r="H52" s="9" t="s">
        <v>729</v>
      </c>
      <c r="I52" s="9"/>
      <c r="J52" s="9"/>
      <c r="K52" s="9" t="e">
        <v>#N/A</v>
      </c>
      <c r="L52" s="9" t="s">
        <v>23</v>
      </c>
      <c r="M52" s="9"/>
      <c r="N52" s="9"/>
      <c r="O52" s="9"/>
      <c r="P52" s="9"/>
      <c r="Q52" s="9"/>
      <c r="R52" s="9"/>
      <c r="S52" s="9"/>
      <c r="T52" s="9"/>
      <c r="U52" s="9"/>
      <c r="V52" s="9"/>
      <c r="W52" s="9"/>
      <c r="X52" s="9" t="s">
        <v>200</v>
      </c>
      <c r="Y52" s="9" t="s">
        <v>837</v>
      </c>
      <c r="Z52" s="8"/>
    </row>
    <row r="53" spans="1:26" ht="345.6">
      <c r="A53" s="9" t="s">
        <v>203</v>
      </c>
      <c r="B53" s="9" t="s">
        <v>205</v>
      </c>
      <c r="C53" s="9" t="s">
        <v>890</v>
      </c>
      <c r="D53" s="9" t="s">
        <v>206</v>
      </c>
      <c r="E53" s="9" t="s">
        <v>925</v>
      </c>
      <c r="F53" s="9"/>
      <c r="G53" s="9"/>
      <c r="H53" s="9" t="s">
        <v>730</v>
      </c>
      <c r="I53" s="9"/>
      <c r="J53" s="9"/>
      <c r="K53" s="9" t="s">
        <v>754</v>
      </c>
      <c r="L53" s="9" t="s">
        <v>23</v>
      </c>
      <c r="M53" s="9"/>
      <c r="N53" s="9"/>
      <c r="O53" s="9"/>
      <c r="P53" s="9"/>
      <c r="Q53" s="9"/>
      <c r="R53" s="9"/>
      <c r="S53" s="9"/>
      <c r="T53" s="9"/>
      <c r="U53" s="9"/>
      <c r="V53" s="9"/>
      <c r="W53" s="9"/>
      <c r="X53" s="9" t="s">
        <v>204</v>
      </c>
      <c r="Y53" s="9" t="s">
        <v>838</v>
      </c>
      <c r="Z53" s="8"/>
    </row>
    <row r="54" spans="1:26" ht="158.4">
      <c r="A54" s="9" t="s">
        <v>207</v>
      </c>
      <c r="B54" s="9" t="s">
        <v>209</v>
      </c>
      <c r="C54" s="9" t="s">
        <v>891</v>
      </c>
      <c r="D54" s="9" t="s">
        <v>210</v>
      </c>
      <c r="E54" s="9" t="s">
        <v>925</v>
      </c>
      <c r="F54" s="9"/>
      <c r="G54" s="9"/>
      <c r="H54" s="9" t="s">
        <v>731</v>
      </c>
      <c r="I54" s="9"/>
      <c r="J54" s="9"/>
      <c r="K54" s="9" t="e">
        <v>#N/A</v>
      </c>
      <c r="L54" s="9" t="s">
        <v>23</v>
      </c>
      <c r="M54" s="9"/>
      <c r="N54" s="9"/>
      <c r="O54" s="9"/>
      <c r="P54" s="9"/>
      <c r="Q54" s="9"/>
      <c r="R54" s="9"/>
      <c r="S54" s="9"/>
      <c r="T54" s="9"/>
      <c r="U54" s="9"/>
      <c r="V54" s="9"/>
      <c r="W54" s="9"/>
      <c r="X54" s="9" t="s">
        <v>208</v>
      </c>
      <c r="Y54" s="9" t="s">
        <v>839</v>
      </c>
      <c r="Z54" s="8"/>
    </row>
    <row r="55" spans="1:26" ht="100.8">
      <c r="A55" s="9" t="s">
        <v>211</v>
      </c>
      <c r="B55" s="9" t="s">
        <v>213</v>
      </c>
      <c r="C55" s="9" t="s">
        <v>214</v>
      </c>
      <c r="D55" s="9" t="s">
        <v>862</v>
      </c>
      <c r="E55" s="9" t="s">
        <v>862</v>
      </c>
      <c r="F55" s="9"/>
      <c r="G55" s="9"/>
      <c r="H55" s="9" t="s">
        <v>732</v>
      </c>
      <c r="I55" s="9"/>
      <c r="J55" s="9"/>
      <c r="K55" s="9" t="e">
        <v>#N/A</v>
      </c>
      <c r="L55" s="9" t="s">
        <v>23</v>
      </c>
      <c r="M55" s="9"/>
      <c r="N55" s="9"/>
      <c r="O55" s="9"/>
      <c r="P55" s="9"/>
      <c r="Q55" s="9"/>
      <c r="R55" s="9"/>
      <c r="S55" s="9"/>
      <c r="T55" s="9"/>
      <c r="U55" s="9"/>
      <c r="V55" s="9"/>
      <c r="W55" s="9"/>
      <c r="X55" s="9" t="s">
        <v>212</v>
      </c>
      <c r="Y55" s="9" t="s">
        <v>591</v>
      </c>
      <c r="Z55" s="8"/>
    </row>
    <row r="56" spans="1:26" ht="57.6">
      <c r="A56" s="9" t="s">
        <v>215</v>
      </c>
      <c r="B56" s="9" t="s">
        <v>217</v>
      </c>
      <c r="C56" s="9" t="s">
        <v>218</v>
      </c>
      <c r="D56" s="9" t="s">
        <v>862</v>
      </c>
      <c r="E56" s="9" t="s">
        <v>925</v>
      </c>
      <c r="F56" s="9"/>
      <c r="G56" s="9"/>
      <c r="H56" s="9" t="s">
        <v>410</v>
      </c>
      <c r="I56" s="9"/>
      <c r="J56" s="9"/>
      <c r="K56" s="9" t="s">
        <v>754</v>
      </c>
      <c r="L56" s="9" t="s">
        <v>23</v>
      </c>
      <c r="M56" s="9"/>
      <c r="N56" s="9"/>
      <c r="O56" s="9"/>
      <c r="P56" s="9"/>
      <c r="Q56" s="9"/>
      <c r="R56" s="9"/>
      <c r="S56" s="9"/>
      <c r="T56" s="9"/>
      <c r="U56" s="9"/>
      <c r="V56" s="9"/>
      <c r="W56" s="9"/>
      <c r="X56" s="9" t="s">
        <v>216</v>
      </c>
      <c r="Y56" s="9" t="s">
        <v>840</v>
      </c>
      <c r="Z56" s="8"/>
    </row>
    <row r="57" spans="1:26" ht="100.8">
      <c r="A57" s="9" t="s">
        <v>219</v>
      </c>
      <c r="B57" s="9" t="s">
        <v>220</v>
      </c>
      <c r="C57" s="9" t="s">
        <v>892</v>
      </c>
      <c r="D57" s="9" t="s">
        <v>221</v>
      </c>
      <c r="E57" s="9" t="s">
        <v>862</v>
      </c>
      <c r="F57" s="9"/>
      <c r="G57" s="9"/>
      <c r="H57" s="9" t="s">
        <v>732</v>
      </c>
      <c r="I57" s="9"/>
      <c r="J57" s="9"/>
      <c r="K57" s="9" t="e">
        <v>#N/A</v>
      </c>
      <c r="L57" s="9" t="s">
        <v>23</v>
      </c>
      <c r="M57" s="9"/>
      <c r="N57" s="9"/>
      <c r="O57" s="9"/>
      <c r="P57" s="9"/>
      <c r="Q57" s="9"/>
      <c r="R57" s="9"/>
      <c r="S57" s="9"/>
      <c r="T57" s="9"/>
      <c r="U57" s="9"/>
      <c r="V57" s="9"/>
      <c r="W57" s="9"/>
      <c r="X57" s="9"/>
      <c r="Y57" s="9" t="s">
        <v>571</v>
      </c>
      <c r="Z57" s="8"/>
    </row>
    <row r="58" spans="1:26" ht="129.6">
      <c r="A58" s="9" t="s">
        <v>222</v>
      </c>
      <c r="B58" s="9" t="s">
        <v>223</v>
      </c>
      <c r="C58" s="9" t="s">
        <v>224</v>
      </c>
      <c r="D58" s="9" t="s">
        <v>862</v>
      </c>
      <c r="E58" s="9" t="s">
        <v>925</v>
      </c>
      <c r="F58" s="9"/>
      <c r="G58" s="9"/>
      <c r="H58" s="9" t="e">
        <v>#N/A</v>
      </c>
      <c r="I58" s="9"/>
      <c r="J58" s="9"/>
      <c r="K58" s="9" t="s">
        <v>754</v>
      </c>
      <c r="L58" s="9" t="s">
        <v>23</v>
      </c>
      <c r="M58" s="9"/>
      <c r="N58" s="9"/>
      <c r="O58" s="9"/>
      <c r="P58" s="9"/>
      <c r="Q58" s="9"/>
      <c r="R58" s="9"/>
      <c r="S58" s="9"/>
      <c r="T58" s="9"/>
      <c r="U58" s="9"/>
      <c r="V58" s="9"/>
      <c r="W58" s="9"/>
      <c r="X58" s="9" t="s">
        <v>208</v>
      </c>
      <c r="Y58" s="9" t="s">
        <v>764</v>
      </c>
      <c r="Z58" s="8"/>
    </row>
    <row r="59" spans="1:26" ht="100.8">
      <c r="A59" s="9" t="s">
        <v>225</v>
      </c>
      <c r="B59" s="9" t="s">
        <v>227</v>
      </c>
      <c r="C59" s="9" t="s">
        <v>893</v>
      </c>
      <c r="D59" s="9" t="s">
        <v>228</v>
      </c>
      <c r="E59" s="9" t="s">
        <v>925</v>
      </c>
      <c r="F59" s="9"/>
      <c r="G59" s="9"/>
      <c r="H59" s="9" t="s">
        <v>751</v>
      </c>
      <c r="I59" s="9"/>
      <c r="J59" s="9"/>
      <c r="K59" s="9" t="s">
        <v>753</v>
      </c>
      <c r="L59" s="9" t="s">
        <v>23</v>
      </c>
      <c r="M59" s="9"/>
      <c r="N59" s="9"/>
      <c r="O59" s="9"/>
      <c r="P59" s="9"/>
      <c r="Q59" s="9"/>
      <c r="R59" s="9"/>
      <c r="S59" s="9"/>
      <c r="T59" s="9"/>
      <c r="U59" s="9"/>
      <c r="V59" s="9"/>
      <c r="W59" s="9"/>
      <c r="X59" s="9" t="s">
        <v>226</v>
      </c>
      <c r="Y59" s="9" t="s">
        <v>765</v>
      </c>
      <c r="Z59" s="8"/>
    </row>
    <row r="60" spans="1:26" ht="144">
      <c r="A60" s="9" t="s">
        <v>229</v>
      </c>
      <c r="B60" s="9" t="s">
        <v>231</v>
      </c>
      <c r="C60" s="9" t="s">
        <v>894</v>
      </c>
      <c r="D60" s="9" t="s">
        <v>232</v>
      </c>
      <c r="E60" s="9" t="s">
        <v>925</v>
      </c>
      <c r="F60" s="9"/>
      <c r="G60" s="9"/>
      <c r="H60" s="9" t="s">
        <v>749</v>
      </c>
      <c r="I60" s="9"/>
      <c r="J60" s="9"/>
      <c r="K60" s="9" t="s">
        <v>754</v>
      </c>
      <c r="L60" s="9" t="s">
        <v>23</v>
      </c>
      <c r="M60" s="9"/>
      <c r="N60" s="9"/>
      <c r="O60" s="9"/>
      <c r="P60" s="9"/>
      <c r="Q60" s="9"/>
      <c r="R60" s="9"/>
      <c r="S60" s="9"/>
      <c r="T60" s="9"/>
      <c r="U60" s="9"/>
      <c r="V60" s="9"/>
      <c r="W60" s="9"/>
      <c r="X60" s="9" t="s">
        <v>230</v>
      </c>
      <c r="Y60" s="9" t="s">
        <v>841</v>
      </c>
      <c r="Z60" s="8"/>
    </row>
    <row r="61" spans="1:26" ht="216">
      <c r="A61" s="9" t="s">
        <v>233</v>
      </c>
      <c r="B61" s="9" t="s">
        <v>235</v>
      </c>
      <c r="C61" s="9" t="s">
        <v>895</v>
      </c>
      <c r="D61" s="9" t="s">
        <v>236</v>
      </c>
      <c r="E61" s="9" t="s">
        <v>925</v>
      </c>
      <c r="F61" s="9"/>
      <c r="G61" s="9"/>
      <c r="H61" s="9" t="s">
        <v>750</v>
      </c>
      <c r="I61" s="9"/>
      <c r="J61" s="9"/>
      <c r="K61" s="9" t="s">
        <v>754</v>
      </c>
      <c r="L61" s="9" t="s">
        <v>23</v>
      </c>
      <c r="M61" s="9"/>
      <c r="N61" s="9"/>
      <c r="O61" s="9"/>
      <c r="P61" s="9"/>
      <c r="Q61" s="9"/>
      <c r="R61" s="9"/>
      <c r="S61" s="9"/>
      <c r="T61" s="9"/>
      <c r="U61" s="9"/>
      <c r="V61" s="9"/>
      <c r="W61" s="9"/>
      <c r="X61" s="9" t="s">
        <v>234</v>
      </c>
      <c r="Y61" s="9" t="s">
        <v>562</v>
      </c>
      <c r="Z61" s="8"/>
    </row>
    <row r="62" spans="1:26" ht="144">
      <c r="A62" s="9" t="s">
        <v>237</v>
      </c>
      <c r="B62" s="9" t="s">
        <v>239</v>
      </c>
      <c r="C62" s="9" t="s">
        <v>896</v>
      </c>
      <c r="D62" s="9" t="s">
        <v>240</v>
      </c>
      <c r="E62" s="9" t="s">
        <v>925</v>
      </c>
      <c r="F62" s="9"/>
      <c r="G62" s="9"/>
      <c r="H62" s="9" t="s">
        <v>748</v>
      </c>
      <c r="I62" s="9"/>
      <c r="J62" s="9"/>
      <c r="K62" s="9" t="e">
        <v>#N/A</v>
      </c>
      <c r="L62" s="9" t="s">
        <v>23</v>
      </c>
      <c r="M62" s="9"/>
      <c r="N62" s="9"/>
      <c r="O62" s="9"/>
      <c r="P62" s="9"/>
      <c r="Q62" s="9"/>
      <c r="R62" s="9"/>
      <c r="S62" s="9"/>
      <c r="T62" s="9"/>
      <c r="U62" s="9"/>
      <c r="V62" s="9"/>
      <c r="W62" s="9"/>
      <c r="X62" s="9" t="s">
        <v>238</v>
      </c>
      <c r="Y62" s="9" t="s">
        <v>766</v>
      </c>
      <c r="Z62" s="8"/>
    </row>
    <row r="63" spans="1:26" ht="144">
      <c r="A63" s="9" t="s">
        <v>241</v>
      </c>
      <c r="B63" s="9" t="s">
        <v>243</v>
      </c>
      <c r="C63" s="9" t="s">
        <v>244</v>
      </c>
      <c r="D63" s="9" t="s">
        <v>862</v>
      </c>
      <c r="E63" s="9" t="s">
        <v>925</v>
      </c>
      <c r="F63" s="9"/>
      <c r="G63" s="9"/>
      <c r="H63" s="9" t="s">
        <v>748</v>
      </c>
      <c r="I63" s="9"/>
      <c r="J63" s="9"/>
      <c r="K63" s="9" t="e">
        <v>#N/A</v>
      </c>
      <c r="L63" s="9" t="s">
        <v>23</v>
      </c>
      <c r="M63" s="9"/>
      <c r="N63" s="9"/>
      <c r="O63" s="9"/>
      <c r="P63" s="9"/>
      <c r="Q63" s="9"/>
      <c r="R63" s="9"/>
      <c r="S63" s="9"/>
      <c r="T63" s="9"/>
      <c r="U63" s="9"/>
      <c r="V63" s="9"/>
      <c r="W63" s="9"/>
      <c r="X63" s="9" t="s">
        <v>242</v>
      </c>
      <c r="Y63" s="9" t="s">
        <v>767</v>
      </c>
      <c r="Z63" s="8"/>
    </row>
    <row r="64" spans="1:26" ht="115.2">
      <c r="A64" s="9" t="s">
        <v>245</v>
      </c>
      <c r="B64" s="9" t="s">
        <v>247</v>
      </c>
      <c r="C64" s="9" t="s">
        <v>248</v>
      </c>
      <c r="D64" s="9" t="s">
        <v>862</v>
      </c>
      <c r="E64" s="9" t="s">
        <v>925</v>
      </c>
      <c r="F64" s="9"/>
      <c r="G64" s="9"/>
      <c r="H64" s="9" t="s">
        <v>747</v>
      </c>
      <c r="I64" s="9"/>
      <c r="J64" s="9"/>
      <c r="K64" s="9" t="s">
        <v>755</v>
      </c>
      <c r="L64" s="9" t="s">
        <v>23</v>
      </c>
      <c r="M64" s="9"/>
      <c r="N64" s="9"/>
      <c r="O64" s="9"/>
      <c r="P64" s="9"/>
      <c r="Q64" s="9"/>
      <c r="R64" s="9"/>
      <c r="S64" s="9"/>
      <c r="T64" s="9"/>
      <c r="U64" s="9"/>
      <c r="V64" s="9"/>
      <c r="W64" s="9"/>
      <c r="X64" s="9" t="s">
        <v>246</v>
      </c>
      <c r="Y64" s="9" t="s">
        <v>768</v>
      </c>
      <c r="Z64" s="8"/>
    </row>
    <row r="65" spans="1:26" ht="57.6">
      <c r="A65" s="9" t="s">
        <v>249</v>
      </c>
      <c r="B65" s="9" t="s">
        <v>251</v>
      </c>
      <c r="C65" s="9" t="s">
        <v>252</v>
      </c>
      <c r="D65" s="9" t="s">
        <v>862</v>
      </c>
      <c r="E65" s="9" t="s">
        <v>925</v>
      </c>
      <c r="F65" s="9"/>
      <c r="G65" s="9"/>
      <c r="H65" s="9" t="s">
        <v>746</v>
      </c>
      <c r="I65" s="9"/>
      <c r="J65" s="9"/>
      <c r="K65" s="9" t="e">
        <v>#N/A</v>
      </c>
      <c r="L65" s="9" t="s">
        <v>23</v>
      </c>
      <c r="M65" s="9"/>
      <c r="N65" s="9"/>
      <c r="O65" s="9"/>
      <c r="P65" s="9"/>
      <c r="Q65" s="9"/>
      <c r="R65" s="9"/>
      <c r="S65" s="9"/>
      <c r="T65" s="9"/>
      <c r="U65" s="9"/>
      <c r="V65" s="9"/>
      <c r="W65" s="9"/>
      <c r="X65" s="9" t="s">
        <v>250</v>
      </c>
      <c r="Y65" s="9" t="s">
        <v>842</v>
      </c>
      <c r="Z65" s="8"/>
    </row>
    <row r="66" spans="1:26" ht="43.2">
      <c r="A66" s="9" t="s">
        <v>253</v>
      </c>
      <c r="B66" s="9" t="s">
        <v>255</v>
      </c>
      <c r="C66" s="9" t="s">
        <v>897</v>
      </c>
      <c r="D66" s="9" t="s">
        <v>256</v>
      </c>
      <c r="E66" s="9" t="s">
        <v>925</v>
      </c>
      <c r="F66" s="9"/>
      <c r="G66" s="9"/>
      <c r="H66" s="9" t="s">
        <v>413</v>
      </c>
      <c r="I66" s="9"/>
      <c r="J66" s="9"/>
      <c r="K66" s="9" t="s">
        <v>754</v>
      </c>
      <c r="L66" s="9" t="s">
        <v>23</v>
      </c>
      <c r="M66" s="9"/>
      <c r="N66" s="9"/>
      <c r="O66" s="9"/>
      <c r="P66" s="9"/>
      <c r="Q66" s="9"/>
      <c r="R66" s="9"/>
      <c r="S66" s="9"/>
      <c r="T66" s="9"/>
      <c r="U66" s="9"/>
      <c r="V66" s="9"/>
      <c r="W66" s="9"/>
      <c r="X66" s="9" t="s">
        <v>254</v>
      </c>
      <c r="Y66" s="9" t="s">
        <v>769</v>
      </c>
      <c r="Z66" s="8"/>
    </row>
    <row r="67" spans="1:26" ht="72">
      <c r="A67" s="9" t="s">
        <v>257</v>
      </c>
      <c r="B67" s="9" t="s">
        <v>259</v>
      </c>
      <c r="C67" s="9" t="s">
        <v>898</v>
      </c>
      <c r="D67" s="9" t="s">
        <v>260</v>
      </c>
      <c r="E67" s="9" t="s">
        <v>862</v>
      </c>
      <c r="F67" s="9"/>
      <c r="G67" s="9"/>
      <c r="H67" s="9" t="s">
        <v>409</v>
      </c>
      <c r="I67" s="9"/>
      <c r="J67" s="9"/>
      <c r="K67" s="9" t="s">
        <v>754</v>
      </c>
      <c r="L67" s="9" t="s">
        <v>23</v>
      </c>
      <c r="M67" s="9"/>
      <c r="N67" s="9"/>
      <c r="O67" s="9"/>
      <c r="P67" s="9"/>
      <c r="Q67" s="9"/>
      <c r="R67" s="9"/>
      <c r="S67" s="9"/>
      <c r="T67" s="9"/>
      <c r="U67" s="9"/>
      <c r="V67" s="9"/>
      <c r="W67" s="9"/>
      <c r="X67" s="9" t="s">
        <v>258</v>
      </c>
      <c r="Y67" s="9" t="s">
        <v>770</v>
      </c>
      <c r="Z67" s="8"/>
    </row>
    <row r="68" spans="1:26" ht="72">
      <c r="A68" s="9" t="s">
        <v>261</v>
      </c>
      <c r="B68" s="9" t="s">
        <v>263</v>
      </c>
      <c r="C68" s="9" t="s">
        <v>899</v>
      </c>
      <c r="D68" s="9" t="s">
        <v>264</v>
      </c>
      <c r="E68" s="9" t="s">
        <v>862</v>
      </c>
      <c r="F68" s="9"/>
      <c r="G68" s="9"/>
      <c r="H68" s="9" t="s">
        <v>745</v>
      </c>
      <c r="I68" s="9"/>
      <c r="J68" s="9"/>
      <c r="K68" s="9" t="s">
        <v>754</v>
      </c>
      <c r="L68" s="9" t="s">
        <v>23</v>
      </c>
      <c r="M68" s="9"/>
      <c r="N68" s="9"/>
      <c r="O68" s="9"/>
      <c r="P68" s="9"/>
      <c r="Q68" s="9"/>
      <c r="R68" s="9"/>
      <c r="S68" s="9"/>
      <c r="T68" s="9"/>
      <c r="U68" s="9"/>
      <c r="V68" s="9"/>
      <c r="W68" s="9"/>
      <c r="X68" s="9" t="s">
        <v>262</v>
      </c>
      <c r="Y68" s="9" t="s">
        <v>771</v>
      </c>
      <c r="Z68" s="8"/>
    </row>
    <row r="69" spans="1:26" ht="57.6">
      <c r="A69" s="9" t="s">
        <v>265</v>
      </c>
      <c r="B69" s="9" t="s">
        <v>267</v>
      </c>
      <c r="C69" s="9" t="s">
        <v>268</v>
      </c>
      <c r="D69" s="9" t="s">
        <v>862</v>
      </c>
      <c r="E69" s="9" t="s">
        <v>925</v>
      </c>
      <c r="F69" s="9"/>
      <c r="G69" s="9"/>
      <c r="H69" s="9" t="s">
        <v>412</v>
      </c>
      <c r="I69" s="9"/>
      <c r="J69" s="9"/>
      <c r="K69" s="9" t="s">
        <v>754</v>
      </c>
      <c r="L69" s="9" t="s">
        <v>23</v>
      </c>
      <c r="M69" s="9"/>
      <c r="N69" s="9"/>
      <c r="O69" s="9"/>
      <c r="P69" s="9"/>
      <c r="Q69" s="9"/>
      <c r="R69" s="9"/>
      <c r="S69" s="9"/>
      <c r="T69" s="9"/>
      <c r="U69" s="9"/>
      <c r="V69" s="9"/>
      <c r="W69" s="9"/>
      <c r="X69" s="9" t="s">
        <v>266</v>
      </c>
      <c r="Y69" s="9" t="s">
        <v>843</v>
      </c>
      <c r="Z69" s="8"/>
    </row>
    <row r="70" spans="1:26" ht="86.4">
      <c r="A70" s="9" t="s">
        <v>269</v>
      </c>
      <c r="B70" s="9" t="s">
        <v>270</v>
      </c>
      <c r="C70" s="9" t="s">
        <v>900</v>
      </c>
      <c r="D70" s="9" t="s">
        <v>271</v>
      </c>
      <c r="E70" s="9" t="s">
        <v>925</v>
      </c>
      <c r="F70" s="9"/>
      <c r="G70" s="9"/>
      <c r="H70" s="9" t="s">
        <v>744</v>
      </c>
      <c r="I70" s="9"/>
      <c r="J70" s="9"/>
      <c r="K70" s="9" t="s">
        <v>754</v>
      </c>
      <c r="L70" s="9" t="s">
        <v>23</v>
      </c>
      <c r="M70" s="9"/>
      <c r="N70" s="9"/>
      <c r="O70" s="9"/>
      <c r="P70" s="9"/>
      <c r="Q70" s="9"/>
      <c r="R70" s="9"/>
      <c r="S70" s="9"/>
      <c r="T70" s="9"/>
      <c r="U70" s="9"/>
      <c r="V70" s="9"/>
      <c r="W70" s="9"/>
      <c r="X70" s="9"/>
      <c r="Y70" s="9" t="s">
        <v>772</v>
      </c>
      <c r="Z70" s="8"/>
    </row>
    <row r="71" spans="1:26" ht="144">
      <c r="A71" s="9" t="s">
        <v>272</v>
      </c>
      <c r="B71" s="9" t="s">
        <v>274</v>
      </c>
      <c r="C71" s="9" t="s">
        <v>275</v>
      </c>
      <c r="D71" s="9" t="s">
        <v>862</v>
      </c>
      <c r="E71" s="9" t="s">
        <v>862</v>
      </c>
      <c r="F71" s="9"/>
      <c r="G71" s="9"/>
      <c r="H71" s="9" t="s">
        <v>414</v>
      </c>
      <c r="I71" s="9"/>
      <c r="J71" s="9"/>
      <c r="K71" s="9" t="s">
        <v>754</v>
      </c>
      <c r="L71" s="9" t="s">
        <v>23</v>
      </c>
      <c r="M71" s="9"/>
      <c r="N71" s="9"/>
      <c r="O71" s="9"/>
      <c r="P71" s="9"/>
      <c r="Q71" s="9"/>
      <c r="R71" s="9"/>
      <c r="S71" s="9"/>
      <c r="T71" s="9"/>
      <c r="U71" s="9"/>
      <c r="V71" s="9"/>
      <c r="W71" s="9"/>
      <c r="X71" s="9" t="s">
        <v>273</v>
      </c>
      <c r="Y71" s="9" t="s">
        <v>773</v>
      </c>
      <c r="Z71" s="8"/>
    </row>
    <row r="72" spans="1:26" ht="86.4">
      <c r="A72" s="9" t="s">
        <v>276</v>
      </c>
      <c r="B72" s="9" t="s">
        <v>277</v>
      </c>
      <c r="C72" s="9" t="s">
        <v>278</v>
      </c>
      <c r="D72" s="9" t="s">
        <v>862</v>
      </c>
      <c r="E72" s="9" t="s">
        <v>925</v>
      </c>
      <c r="F72" s="9"/>
      <c r="G72" s="9"/>
      <c r="H72" s="9" t="s">
        <v>743</v>
      </c>
      <c r="I72" s="9"/>
      <c r="J72" s="9"/>
      <c r="K72" s="9" t="s">
        <v>754</v>
      </c>
      <c r="L72" s="9" t="s">
        <v>23</v>
      </c>
      <c r="M72" s="9"/>
      <c r="N72" s="9"/>
      <c r="O72" s="9"/>
      <c r="P72" s="9"/>
      <c r="Q72" s="9"/>
      <c r="R72" s="9"/>
      <c r="S72" s="9"/>
      <c r="T72" s="9"/>
      <c r="U72" s="9"/>
      <c r="V72" s="9"/>
      <c r="W72" s="9"/>
      <c r="X72" s="9" t="s">
        <v>216</v>
      </c>
      <c r="Y72" s="9" t="s">
        <v>774</v>
      </c>
      <c r="Z72" s="8"/>
    </row>
    <row r="73" spans="1:26" ht="86.4">
      <c r="A73" s="9" t="s">
        <v>279</v>
      </c>
      <c r="B73" s="9" t="s">
        <v>281</v>
      </c>
      <c r="C73" s="9" t="s">
        <v>282</v>
      </c>
      <c r="D73" s="9" t="s">
        <v>862</v>
      </c>
      <c r="E73" s="9" t="s">
        <v>862</v>
      </c>
      <c r="F73" s="9"/>
      <c r="G73" s="9"/>
      <c r="H73" s="9" t="s">
        <v>742</v>
      </c>
      <c r="I73" s="9"/>
      <c r="J73" s="9"/>
      <c r="K73" s="9" t="s">
        <v>754</v>
      </c>
      <c r="L73" s="9" t="s">
        <v>23</v>
      </c>
      <c r="M73" s="9"/>
      <c r="N73" s="9"/>
      <c r="O73" s="9"/>
      <c r="P73" s="9"/>
      <c r="Q73" s="9"/>
      <c r="R73" s="9"/>
      <c r="S73" s="9"/>
      <c r="T73" s="9"/>
      <c r="U73" s="9"/>
      <c r="V73" s="9"/>
      <c r="W73" s="9"/>
      <c r="X73" s="9" t="s">
        <v>280</v>
      </c>
      <c r="Y73" s="9" t="s">
        <v>775</v>
      </c>
      <c r="Z73" s="8"/>
    </row>
    <row r="74" spans="1:26" ht="86.4">
      <c r="A74" s="9" t="s">
        <v>283</v>
      </c>
      <c r="B74" s="9" t="s">
        <v>285</v>
      </c>
      <c r="C74" s="9" t="s">
        <v>286</v>
      </c>
      <c r="D74" s="9" t="s">
        <v>862</v>
      </c>
      <c r="E74" s="9" t="s">
        <v>925</v>
      </c>
      <c r="F74" s="9"/>
      <c r="G74" s="9"/>
      <c r="H74" s="9" t="s">
        <v>741</v>
      </c>
      <c r="I74" s="9"/>
      <c r="J74" s="9"/>
      <c r="K74" s="9" t="s">
        <v>754</v>
      </c>
      <c r="L74" s="9" t="s">
        <v>23</v>
      </c>
      <c r="M74" s="9"/>
      <c r="N74" s="9"/>
      <c r="O74" s="9"/>
      <c r="P74" s="9"/>
      <c r="Q74" s="9"/>
      <c r="R74" s="9"/>
      <c r="S74" s="9"/>
      <c r="T74" s="9"/>
      <c r="U74" s="9"/>
      <c r="V74" s="9"/>
      <c r="W74" s="9"/>
      <c r="X74" s="9" t="s">
        <v>284</v>
      </c>
      <c r="Y74" s="9" t="s">
        <v>776</v>
      </c>
      <c r="Z74" s="8"/>
    </row>
    <row r="75" spans="1:26" ht="72">
      <c r="A75" s="9" t="s">
        <v>287</v>
      </c>
      <c r="B75" s="9" t="s">
        <v>289</v>
      </c>
      <c r="C75" s="9" t="s">
        <v>290</v>
      </c>
      <c r="D75" s="9" t="s">
        <v>862</v>
      </c>
      <c r="E75" s="9" t="s">
        <v>862</v>
      </c>
      <c r="F75" s="9"/>
      <c r="G75" s="9"/>
      <c r="H75" s="9" t="s">
        <v>415</v>
      </c>
      <c r="I75" s="9"/>
      <c r="J75" s="9"/>
      <c r="K75" s="9" t="s">
        <v>754</v>
      </c>
      <c r="L75" s="9" t="s">
        <v>23</v>
      </c>
      <c r="M75" s="9"/>
      <c r="N75" s="9"/>
      <c r="O75" s="9"/>
      <c r="P75" s="9"/>
      <c r="Q75" s="9"/>
      <c r="R75" s="9"/>
      <c r="S75" s="9"/>
      <c r="T75" s="9"/>
      <c r="U75" s="9"/>
      <c r="V75" s="9"/>
      <c r="W75" s="9"/>
      <c r="X75" s="9" t="s">
        <v>288</v>
      </c>
      <c r="Y75" s="9" t="s">
        <v>844</v>
      </c>
      <c r="Z75" s="8"/>
    </row>
    <row r="76" spans="1:26" ht="100.8">
      <c r="A76" s="9" t="s">
        <v>291</v>
      </c>
      <c r="B76" s="9" t="s">
        <v>293</v>
      </c>
      <c r="C76" s="9" t="s">
        <v>901</v>
      </c>
      <c r="D76" s="9" t="s">
        <v>294</v>
      </c>
      <c r="E76" s="9" t="s">
        <v>925</v>
      </c>
      <c r="F76" s="9"/>
      <c r="G76" s="9"/>
      <c r="H76" s="9" t="s">
        <v>737</v>
      </c>
      <c r="I76" s="9"/>
      <c r="J76" s="9"/>
      <c r="K76" s="9" t="s">
        <v>754</v>
      </c>
      <c r="L76" s="9" t="s">
        <v>23</v>
      </c>
      <c r="M76" s="9"/>
      <c r="N76" s="9"/>
      <c r="O76" s="9"/>
      <c r="P76" s="9"/>
      <c r="Q76" s="9"/>
      <c r="R76" s="9"/>
      <c r="S76" s="9"/>
      <c r="T76" s="9"/>
      <c r="U76" s="9"/>
      <c r="V76" s="9"/>
      <c r="W76" s="9"/>
      <c r="X76" s="9" t="s">
        <v>292</v>
      </c>
      <c r="Y76" s="9" t="s">
        <v>777</v>
      </c>
      <c r="Z76" s="8"/>
    </row>
    <row r="77" spans="1:26" ht="72">
      <c r="A77" s="9" t="s">
        <v>295</v>
      </c>
      <c r="B77" s="9" t="s">
        <v>297</v>
      </c>
      <c r="C77" s="9" t="s">
        <v>298</v>
      </c>
      <c r="D77" s="9" t="s">
        <v>862</v>
      </c>
      <c r="E77" s="9" t="s">
        <v>862</v>
      </c>
      <c r="F77" s="9"/>
      <c r="G77" s="9"/>
      <c r="H77" s="9" t="e">
        <v>#N/A</v>
      </c>
      <c r="I77" s="9"/>
      <c r="J77" s="9"/>
      <c r="K77" s="9" t="s">
        <v>754</v>
      </c>
      <c r="L77" s="9" t="s">
        <v>23</v>
      </c>
      <c r="M77" s="9"/>
      <c r="N77" s="9"/>
      <c r="O77" s="9"/>
      <c r="P77" s="9"/>
      <c r="Q77" s="9"/>
      <c r="R77" s="9"/>
      <c r="S77" s="9"/>
      <c r="T77" s="9"/>
      <c r="U77" s="9"/>
      <c r="V77" s="9"/>
      <c r="W77" s="9"/>
      <c r="X77" s="9" t="s">
        <v>296</v>
      </c>
      <c r="Y77" s="9" t="s">
        <v>778</v>
      </c>
      <c r="Z77" s="8"/>
    </row>
    <row r="78" spans="1:26" ht="100.8">
      <c r="A78" s="9" t="s">
        <v>299</v>
      </c>
      <c r="B78" s="9" t="s">
        <v>301</v>
      </c>
      <c r="C78" s="9" t="s">
        <v>902</v>
      </c>
      <c r="D78" s="9" t="s">
        <v>302</v>
      </c>
      <c r="E78" s="9" t="s">
        <v>925</v>
      </c>
      <c r="F78" s="9"/>
      <c r="G78" s="9"/>
      <c r="H78" s="9" t="e">
        <v>#N/A</v>
      </c>
      <c r="I78" s="9"/>
      <c r="J78" s="9"/>
      <c r="K78" s="9" t="s">
        <v>754</v>
      </c>
      <c r="L78" s="9" t="s">
        <v>23</v>
      </c>
      <c r="M78" s="9"/>
      <c r="N78" s="9"/>
      <c r="O78" s="9"/>
      <c r="P78" s="9"/>
      <c r="Q78" s="9"/>
      <c r="R78" s="9"/>
      <c r="S78" s="9"/>
      <c r="T78" s="9"/>
      <c r="U78" s="9"/>
      <c r="V78" s="9"/>
      <c r="W78" s="9"/>
      <c r="X78" s="9" t="s">
        <v>300</v>
      </c>
      <c r="Y78" s="9" t="s">
        <v>779</v>
      </c>
      <c r="Z78" s="8"/>
    </row>
    <row r="79" spans="1:26" ht="100.8">
      <c r="A79" s="9" t="s">
        <v>303</v>
      </c>
      <c r="B79" s="9" t="s">
        <v>305</v>
      </c>
      <c r="C79" s="9" t="s">
        <v>903</v>
      </c>
      <c r="D79" s="9" t="s">
        <v>306</v>
      </c>
      <c r="E79" s="9" t="s">
        <v>925</v>
      </c>
      <c r="F79" s="9"/>
      <c r="G79" s="9"/>
      <c r="H79" s="9" t="s">
        <v>723</v>
      </c>
      <c r="I79" s="9"/>
      <c r="J79" s="9"/>
      <c r="K79" s="9" t="s">
        <v>754</v>
      </c>
      <c r="L79" s="9" t="s">
        <v>23</v>
      </c>
      <c r="M79" s="9"/>
      <c r="N79" s="9"/>
      <c r="O79" s="9"/>
      <c r="P79" s="9"/>
      <c r="Q79" s="9"/>
      <c r="R79" s="9"/>
      <c r="S79" s="9"/>
      <c r="T79" s="9"/>
      <c r="U79" s="9"/>
      <c r="V79" s="9"/>
      <c r="W79" s="9"/>
      <c r="X79" s="9" t="s">
        <v>304</v>
      </c>
      <c r="Y79" s="9" t="s">
        <v>780</v>
      </c>
      <c r="Z79" s="8"/>
    </row>
    <row r="80" spans="1:26" ht="144">
      <c r="A80" s="9" t="s">
        <v>307</v>
      </c>
      <c r="B80" s="9" t="s">
        <v>309</v>
      </c>
      <c r="C80" s="9" t="s">
        <v>310</v>
      </c>
      <c r="D80" s="9" t="s">
        <v>862</v>
      </c>
      <c r="E80" s="9" t="s">
        <v>925</v>
      </c>
      <c r="F80" s="9"/>
      <c r="G80" s="9"/>
      <c r="H80" s="9" t="s">
        <v>736</v>
      </c>
      <c r="I80" s="9"/>
      <c r="J80" s="9"/>
      <c r="K80" s="9" t="s">
        <v>754</v>
      </c>
      <c r="L80" s="9" t="s">
        <v>23</v>
      </c>
      <c r="M80" s="9"/>
      <c r="N80" s="9"/>
      <c r="O80" s="9"/>
      <c r="P80" s="9"/>
      <c r="Q80" s="9"/>
      <c r="R80" s="9"/>
      <c r="S80" s="9"/>
      <c r="T80" s="9"/>
      <c r="U80" s="9"/>
      <c r="V80" s="9"/>
      <c r="W80" s="9"/>
      <c r="X80" s="9" t="s">
        <v>308</v>
      </c>
      <c r="Y80" s="9" t="s">
        <v>781</v>
      </c>
      <c r="Z80" s="8"/>
    </row>
    <row r="81" spans="1:26" ht="100.8">
      <c r="A81" s="9" t="s">
        <v>311</v>
      </c>
      <c r="B81" s="9" t="s">
        <v>313</v>
      </c>
      <c r="C81" s="9" t="s">
        <v>314</v>
      </c>
      <c r="D81" s="9" t="s">
        <v>862</v>
      </c>
      <c r="E81" s="9" t="s">
        <v>925</v>
      </c>
      <c r="F81" s="9"/>
      <c r="G81" s="9"/>
      <c r="H81" s="9" t="s">
        <v>740</v>
      </c>
      <c r="I81" s="9"/>
      <c r="J81" s="9"/>
      <c r="K81" s="9" t="s">
        <v>754</v>
      </c>
      <c r="L81" s="9" t="s">
        <v>23</v>
      </c>
      <c r="M81" s="9"/>
      <c r="N81" s="9"/>
      <c r="O81" s="9"/>
      <c r="P81" s="9"/>
      <c r="Q81" s="9"/>
      <c r="R81" s="9"/>
      <c r="S81" s="9"/>
      <c r="T81" s="9"/>
      <c r="U81" s="9"/>
      <c r="V81" s="9"/>
      <c r="W81" s="9"/>
      <c r="X81" s="9" t="s">
        <v>312</v>
      </c>
      <c r="Y81" s="9" t="s">
        <v>782</v>
      </c>
      <c r="Z81" s="8"/>
    </row>
    <row r="82" spans="1:26" ht="86.4">
      <c r="A82" s="9" t="s">
        <v>315</v>
      </c>
      <c r="B82" s="9" t="s">
        <v>317</v>
      </c>
      <c r="C82" s="9" t="s">
        <v>318</v>
      </c>
      <c r="D82" s="9" t="s">
        <v>862</v>
      </c>
      <c r="E82" s="9" t="s">
        <v>862</v>
      </c>
      <c r="F82" s="9"/>
      <c r="G82" s="9"/>
      <c r="H82" s="9" t="s">
        <v>723</v>
      </c>
      <c r="I82" s="9"/>
      <c r="J82" s="9"/>
      <c r="K82" s="9" t="s">
        <v>754</v>
      </c>
      <c r="L82" s="9" t="s">
        <v>23</v>
      </c>
      <c r="M82" s="9"/>
      <c r="N82" s="9"/>
      <c r="O82" s="9"/>
      <c r="P82" s="9"/>
      <c r="Q82" s="9"/>
      <c r="R82" s="9"/>
      <c r="S82" s="9"/>
      <c r="T82" s="9"/>
      <c r="U82" s="9"/>
      <c r="V82" s="9"/>
      <c r="W82" s="9"/>
      <c r="X82" s="9" t="s">
        <v>316</v>
      </c>
      <c r="Y82" s="9" t="s">
        <v>783</v>
      </c>
      <c r="Z82" s="8"/>
    </row>
    <row r="83" spans="1:26" ht="57.6">
      <c r="A83" s="9" t="s">
        <v>319</v>
      </c>
      <c r="B83" s="9" t="s">
        <v>321</v>
      </c>
      <c r="C83" s="9" t="s">
        <v>322</v>
      </c>
      <c r="D83" s="9" t="s">
        <v>862</v>
      </c>
      <c r="E83" s="9" t="s">
        <v>862</v>
      </c>
      <c r="F83" s="9"/>
      <c r="G83" s="9"/>
      <c r="H83" s="9" t="s">
        <v>739</v>
      </c>
      <c r="I83" s="9"/>
      <c r="J83" s="9"/>
      <c r="K83" s="9" t="s">
        <v>754</v>
      </c>
      <c r="L83" s="9" t="s">
        <v>23</v>
      </c>
      <c r="M83" s="9"/>
      <c r="N83" s="9"/>
      <c r="O83" s="9"/>
      <c r="P83" s="9"/>
      <c r="Q83" s="9"/>
      <c r="R83" s="9"/>
      <c r="S83" s="9"/>
      <c r="T83" s="9"/>
      <c r="U83" s="9"/>
      <c r="V83" s="9"/>
      <c r="W83" s="9"/>
      <c r="X83" s="9" t="s">
        <v>320</v>
      </c>
      <c r="Y83" s="9" t="s">
        <v>784</v>
      </c>
      <c r="Z83" s="8"/>
    </row>
    <row r="84" spans="1:26" ht="115.2">
      <c r="A84" s="9" t="s">
        <v>323</v>
      </c>
      <c r="B84" s="9" t="s">
        <v>325</v>
      </c>
      <c r="C84" s="9" t="s">
        <v>904</v>
      </c>
      <c r="D84" s="9" t="s">
        <v>326</v>
      </c>
      <c r="E84" s="9" t="s">
        <v>925</v>
      </c>
      <c r="F84" s="9"/>
      <c r="G84" s="9"/>
      <c r="H84" s="9" t="s">
        <v>725</v>
      </c>
      <c r="I84" s="9"/>
      <c r="J84" s="9"/>
      <c r="K84" s="9" t="s">
        <v>754</v>
      </c>
      <c r="L84" s="9" t="s">
        <v>23</v>
      </c>
      <c r="M84" s="9"/>
      <c r="N84" s="9"/>
      <c r="O84" s="9"/>
      <c r="P84" s="9"/>
      <c r="Q84" s="9"/>
      <c r="R84" s="9"/>
      <c r="S84" s="9"/>
      <c r="T84" s="9"/>
      <c r="U84" s="9"/>
      <c r="V84" s="9"/>
      <c r="W84" s="9"/>
      <c r="X84" s="9" t="s">
        <v>324</v>
      </c>
      <c r="Y84" s="9" t="s">
        <v>785</v>
      </c>
      <c r="Z84" s="8"/>
    </row>
    <row r="85" spans="1:26" ht="86.4">
      <c r="A85" s="9" t="s">
        <v>327</v>
      </c>
      <c r="B85" s="9" t="s">
        <v>328</v>
      </c>
      <c r="C85" s="9" t="s">
        <v>905</v>
      </c>
      <c r="D85" s="9" t="s">
        <v>329</v>
      </c>
      <c r="E85" s="9" t="s">
        <v>925</v>
      </c>
      <c r="F85" s="9"/>
      <c r="G85" s="9"/>
      <c r="H85" s="9" t="s">
        <v>723</v>
      </c>
      <c r="I85" s="9"/>
      <c r="J85" s="9"/>
      <c r="K85" s="9" t="e">
        <v>#N/A</v>
      </c>
      <c r="L85" s="9" t="s">
        <v>23</v>
      </c>
      <c r="M85" s="9"/>
      <c r="N85" s="9"/>
      <c r="O85" s="9"/>
      <c r="P85" s="9"/>
      <c r="Q85" s="9"/>
      <c r="R85" s="9"/>
      <c r="S85" s="9"/>
      <c r="T85" s="9"/>
      <c r="U85" s="9"/>
      <c r="V85" s="9"/>
      <c r="W85" s="9"/>
      <c r="X85" s="9" t="s">
        <v>316</v>
      </c>
      <c r="Y85" s="9" t="s">
        <v>845</v>
      </c>
      <c r="Z85" s="8"/>
    </row>
    <row r="86" spans="1:26" ht="115.2">
      <c r="A86" s="9" t="s">
        <v>330</v>
      </c>
      <c r="B86" s="9" t="s">
        <v>332</v>
      </c>
      <c r="C86" s="9" t="s">
        <v>906</v>
      </c>
      <c r="D86" s="9" t="s">
        <v>333</v>
      </c>
      <c r="E86" s="9" t="s">
        <v>862</v>
      </c>
      <c r="F86" s="9"/>
      <c r="G86" s="9"/>
      <c r="H86" s="9" t="s">
        <v>738</v>
      </c>
      <c r="I86" s="9"/>
      <c r="J86" s="9"/>
      <c r="K86" s="9" t="s">
        <v>754</v>
      </c>
      <c r="L86" s="9" t="s">
        <v>23</v>
      </c>
      <c r="M86" s="9"/>
      <c r="N86" s="9"/>
      <c r="O86" s="9"/>
      <c r="P86" s="9"/>
      <c r="Q86" s="9"/>
      <c r="R86" s="9"/>
      <c r="S86" s="9"/>
      <c r="T86" s="9"/>
      <c r="U86" s="9"/>
      <c r="V86" s="9"/>
      <c r="W86" s="9"/>
      <c r="X86" s="9" t="s">
        <v>331</v>
      </c>
      <c r="Y86" s="9" t="s">
        <v>789</v>
      </c>
      <c r="Z86" s="8"/>
    </row>
    <row r="87" spans="1:26" ht="144">
      <c r="A87" s="9" t="s">
        <v>334</v>
      </c>
      <c r="B87" s="9" t="s">
        <v>336</v>
      </c>
      <c r="C87" s="9" t="s">
        <v>907</v>
      </c>
      <c r="D87" s="9" t="s">
        <v>337</v>
      </c>
      <c r="E87" s="9" t="s">
        <v>925</v>
      </c>
      <c r="F87" s="9"/>
      <c r="G87" s="9"/>
      <c r="H87" s="9" t="s">
        <v>727</v>
      </c>
      <c r="I87" s="9"/>
      <c r="J87" s="9"/>
      <c r="K87" s="9" t="s">
        <v>754</v>
      </c>
      <c r="L87" s="9" t="s">
        <v>23</v>
      </c>
      <c r="M87" s="9"/>
      <c r="N87" s="9"/>
      <c r="O87" s="9"/>
      <c r="P87" s="9"/>
      <c r="Q87" s="9"/>
      <c r="R87" s="9"/>
      <c r="S87" s="9"/>
      <c r="T87" s="9"/>
      <c r="U87" s="9"/>
      <c r="V87" s="9"/>
      <c r="W87" s="9"/>
      <c r="X87" s="9" t="s">
        <v>335</v>
      </c>
      <c r="Y87" s="9" t="s">
        <v>786</v>
      </c>
      <c r="Z87" s="8"/>
    </row>
    <row r="88" spans="1:26" ht="57.6">
      <c r="A88" s="9" t="s">
        <v>338</v>
      </c>
      <c r="B88" s="9" t="s">
        <v>340</v>
      </c>
      <c r="C88" s="9" t="s">
        <v>908</v>
      </c>
      <c r="D88" s="9" t="s">
        <v>341</v>
      </c>
      <c r="E88" s="9" t="s">
        <v>862</v>
      </c>
      <c r="F88" s="9"/>
      <c r="G88" s="9"/>
      <c r="H88" s="9" t="s">
        <v>735</v>
      </c>
      <c r="I88" s="9"/>
      <c r="J88" s="9"/>
      <c r="K88" s="9" t="s">
        <v>754</v>
      </c>
      <c r="L88" s="9" t="s">
        <v>23</v>
      </c>
      <c r="M88" s="9"/>
      <c r="N88" s="9"/>
      <c r="O88" s="9"/>
      <c r="P88" s="9"/>
      <c r="Q88" s="9"/>
      <c r="R88" s="9"/>
      <c r="S88" s="9"/>
      <c r="T88" s="9"/>
      <c r="U88" s="9"/>
      <c r="V88" s="9"/>
      <c r="W88" s="9"/>
      <c r="X88" s="9" t="s">
        <v>339</v>
      </c>
      <c r="Y88" s="9" t="s">
        <v>787</v>
      </c>
      <c r="Z88" s="8"/>
    </row>
    <row r="89" spans="1:26" ht="57.6">
      <c r="A89" s="9" t="s">
        <v>342</v>
      </c>
      <c r="B89" s="9" t="s">
        <v>344</v>
      </c>
      <c r="C89" s="9" t="s">
        <v>909</v>
      </c>
      <c r="D89" s="9" t="s">
        <v>345</v>
      </c>
      <c r="E89" s="9" t="s">
        <v>925</v>
      </c>
      <c r="F89" s="9"/>
      <c r="G89" s="9"/>
      <c r="H89" s="9" t="s">
        <v>735</v>
      </c>
      <c r="I89" s="9"/>
      <c r="J89" s="9"/>
      <c r="K89" s="9" t="s">
        <v>754</v>
      </c>
      <c r="L89" s="9" t="s">
        <v>23</v>
      </c>
      <c r="M89" s="9"/>
      <c r="N89" s="9"/>
      <c r="O89" s="9"/>
      <c r="P89" s="9"/>
      <c r="Q89" s="9"/>
      <c r="R89" s="9"/>
      <c r="S89" s="9"/>
      <c r="T89" s="9"/>
      <c r="U89" s="9"/>
      <c r="V89" s="9"/>
      <c r="W89" s="9"/>
      <c r="X89" s="9" t="s">
        <v>343</v>
      </c>
      <c r="Y89" s="9" t="s">
        <v>787</v>
      </c>
      <c r="Z89" s="8"/>
    </row>
    <row r="90" spans="1:26" ht="86.4">
      <c r="A90" s="9" t="s">
        <v>346</v>
      </c>
      <c r="B90" s="9" t="s">
        <v>348</v>
      </c>
      <c r="C90" s="9" t="s">
        <v>910</v>
      </c>
      <c r="D90" s="9" t="s">
        <v>349</v>
      </c>
      <c r="E90" s="9" t="s">
        <v>862</v>
      </c>
      <c r="F90" s="9"/>
      <c r="G90" s="9"/>
      <c r="H90" s="9" t="s">
        <v>727</v>
      </c>
      <c r="I90" s="9"/>
      <c r="J90" s="9"/>
      <c r="K90" s="9" t="s">
        <v>754</v>
      </c>
      <c r="L90" s="9" t="s">
        <v>23</v>
      </c>
      <c r="M90" s="9"/>
      <c r="N90" s="9"/>
      <c r="O90" s="9"/>
      <c r="P90" s="9"/>
      <c r="Q90" s="9"/>
      <c r="R90" s="9"/>
      <c r="S90" s="9"/>
      <c r="T90" s="9"/>
      <c r="U90" s="9"/>
      <c r="V90" s="9"/>
      <c r="W90" s="9"/>
      <c r="X90" s="9" t="s">
        <v>347</v>
      </c>
      <c r="Y90" s="9" t="s">
        <v>788</v>
      </c>
      <c r="Z90" s="8"/>
    </row>
    <row r="91" spans="1:26" ht="57.6">
      <c r="A91" s="9" t="s">
        <v>350</v>
      </c>
      <c r="B91" s="9" t="s">
        <v>351</v>
      </c>
      <c r="C91" s="9" t="s">
        <v>911</v>
      </c>
      <c r="D91" s="9" t="s">
        <v>352</v>
      </c>
      <c r="E91" s="9" t="s">
        <v>862</v>
      </c>
      <c r="F91" s="9"/>
      <c r="G91" s="9"/>
      <c r="H91" s="9" t="s">
        <v>727</v>
      </c>
      <c r="I91" s="9"/>
      <c r="J91" s="9"/>
      <c r="K91" s="9" t="s">
        <v>754</v>
      </c>
      <c r="L91" s="9" t="s">
        <v>23</v>
      </c>
      <c r="M91" s="9"/>
      <c r="N91" s="9"/>
      <c r="O91" s="9"/>
      <c r="P91" s="9"/>
      <c r="Q91" s="9"/>
      <c r="R91" s="9"/>
      <c r="S91" s="9"/>
      <c r="T91" s="9"/>
      <c r="U91" s="9"/>
      <c r="V91" s="9"/>
      <c r="W91" s="9"/>
      <c r="X91" s="9"/>
      <c r="Y91" s="9" t="s">
        <v>789</v>
      </c>
      <c r="Z91" s="8"/>
    </row>
    <row r="92" spans="1:26" ht="86.4">
      <c r="A92" s="9" t="s">
        <v>353</v>
      </c>
      <c r="B92" s="9" t="s">
        <v>355</v>
      </c>
      <c r="C92" s="9" t="s">
        <v>912</v>
      </c>
      <c r="D92" s="9" t="s">
        <v>356</v>
      </c>
      <c r="E92" s="9" t="s">
        <v>925</v>
      </c>
      <c r="F92" s="9"/>
      <c r="G92" s="9"/>
      <c r="H92" s="9" t="s">
        <v>729</v>
      </c>
      <c r="I92" s="9"/>
      <c r="J92" s="9"/>
      <c r="K92" s="9" t="s">
        <v>754</v>
      </c>
      <c r="L92" s="9" t="s">
        <v>23</v>
      </c>
      <c r="M92" s="9"/>
      <c r="N92" s="9"/>
      <c r="O92" s="9"/>
      <c r="P92" s="9"/>
      <c r="Q92" s="9"/>
      <c r="R92" s="9"/>
      <c r="S92" s="9"/>
      <c r="T92" s="9"/>
      <c r="U92" s="9"/>
      <c r="V92" s="9"/>
      <c r="W92" s="9"/>
      <c r="X92" s="9" t="s">
        <v>354</v>
      </c>
      <c r="Y92" s="9" t="s">
        <v>790</v>
      </c>
      <c r="Z92" s="8"/>
    </row>
    <row r="93" spans="1:26" ht="115.2">
      <c r="A93" s="9" t="s">
        <v>357</v>
      </c>
      <c r="B93" s="9" t="s">
        <v>358</v>
      </c>
      <c r="C93" s="9" t="s">
        <v>913</v>
      </c>
      <c r="D93" s="9" t="s">
        <v>359</v>
      </c>
      <c r="E93" s="9" t="s">
        <v>925</v>
      </c>
      <c r="F93" s="9"/>
      <c r="G93" s="9"/>
      <c r="H93" s="9" t="s">
        <v>729</v>
      </c>
      <c r="I93" s="9"/>
      <c r="J93" s="9"/>
      <c r="K93" s="9" t="s">
        <v>755</v>
      </c>
      <c r="L93" s="9" t="s">
        <v>23</v>
      </c>
      <c r="M93" s="9"/>
      <c r="N93" s="9"/>
      <c r="O93" s="9"/>
      <c r="P93" s="9"/>
      <c r="Q93" s="9"/>
      <c r="R93" s="9"/>
      <c r="S93" s="9"/>
      <c r="T93" s="9"/>
      <c r="U93" s="9"/>
      <c r="V93" s="9"/>
      <c r="W93" s="9"/>
      <c r="X93" s="9" t="s">
        <v>354</v>
      </c>
      <c r="Y93" s="9" t="s">
        <v>791</v>
      </c>
      <c r="Z93" s="8"/>
    </row>
    <row r="94" spans="1:26" ht="72">
      <c r="A94" s="9" t="s">
        <v>360</v>
      </c>
      <c r="B94" s="9" t="s">
        <v>361</v>
      </c>
      <c r="C94" s="9" t="s">
        <v>914</v>
      </c>
      <c r="D94" s="9" t="s">
        <v>362</v>
      </c>
      <c r="E94" s="9" t="s">
        <v>925</v>
      </c>
      <c r="F94" s="9"/>
      <c r="G94" s="9"/>
      <c r="H94" s="9" t="s">
        <v>729</v>
      </c>
      <c r="I94" s="9"/>
      <c r="J94" s="9"/>
      <c r="K94" s="9" t="s">
        <v>755</v>
      </c>
      <c r="L94" s="9" t="s">
        <v>23</v>
      </c>
      <c r="M94" s="9"/>
      <c r="N94" s="9"/>
      <c r="O94" s="9"/>
      <c r="P94" s="9"/>
      <c r="Q94" s="9"/>
      <c r="R94" s="9"/>
      <c r="S94" s="9"/>
      <c r="T94" s="9"/>
      <c r="U94" s="9"/>
      <c r="V94" s="9"/>
      <c r="W94" s="9"/>
      <c r="X94" s="9"/>
      <c r="Y94" s="9" t="s">
        <v>791</v>
      </c>
      <c r="Z94" s="8"/>
    </row>
    <row r="95" spans="1:26" ht="72">
      <c r="A95" s="9" t="s">
        <v>363</v>
      </c>
      <c r="B95" s="9" t="s">
        <v>364</v>
      </c>
      <c r="C95" s="9" t="s">
        <v>915</v>
      </c>
      <c r="D95" s="9" t="s">
        <v>365</v>
      </c>
      <c r="E95" s="9" t="s">
        <v>862</v>
      </c>
      <c r="F95" s="9"/>
      <c r="G95" s="9"/>
      <c r="H95" s="9" t="s">
        <v>729</v>
      </c>
      <c r="I95" s="9"/>
      <c r="J95" s="9"/>
      <c r="K95" s="9" t="s">
        <v>755</v>
      </c>
      <c r="L95" s="9" t="s">
        <v>23</v>
      </c>
      <c r="M95" s="9"/>
      <c r="N95" s="9"/>
      <c r="O95" s="9"/>
      <c r="P95" s="9"/>
      <c r="Q95" s="9"/>
      <c r="R95" s="9"/>
      <c r="S95" s="9"/>
      <c r="T95" s="9"/>
      <c r="U95" s="9"/>
      <c r="V95" s="9"/>
      <c r="W95" s="9"/>
      <c r="X95" s="9"/>
      <c r="Y95" s="9" t="s">
        <v>792</v>
      </c>
      <c r="Z95" s="8"/>
    </row>
    <row r="96" spans="1:26" ht="86.4">
      <c r="A96" s="9" t="s">
        <v>366</v>
      </c>
      <c r="B96" s="9" t="s">
        <v>368</v>
      </c>
      <c r="C96" s="9" t="s">
        <v>916</v>
      </c>
      <c r="D96" s="9" t="s">
        <v>369</v>
      </c>
      <c r="E96" s="9" t="s">
        <v>925</v>
      </c>
      <c r="F96" s="9"/>
      <c r="G96" s="9"/>
      <c r="H96" s="9" t="s">
        <v>729</v>
      </c>
      <c r="I96" s="9"/>
      <c r="J96" s="9"/>
      <c r="K96" s="9" t="s">
        <v>755</v>
      </c>
      <c r="L96" s="9" t="s">
        <v>23</v>
      </c>
      <c r="M96" s="9"/>
      <c r="N96" s="9"/>
      <c r="O96" s="9"/>
      <c r="P96" s="9"/>
      <c r="Q96" s="9"/>
      <c r="R96" s="9"/>
      <c r="S96" s="9"/>
      <c r="T96" s="9"/>
      <c r="U96" s="9"/>
      <c r="V96" s="9"/>
      <c r="W96" s="9"/>
      <c r="X96" s="9" t="s">
        <v>367</v>
      </c>
      <c r="Y96" s="9" t="s">
        <v>793</v>
      </c>
      <c r="Z96" s="8"/>
    </row>
    <row r="97" spans="1:26" ht="72">
      <c r="A97" s="9" t="s">
        <v>370</v>
      </c>
      <c r="B97" s="9" t="s">
        <v>372</v>
      </c>
      <c r="C97" s="9" t="s">
        <v>373</v>
      </c>
      <c r="D97" s="9" t="s">
        <v>862</v>
      </c>
      <c r="E97" s="9" t="s">
        <v>925</v>
      </c>
      <c r="F97" s="9"/>
      <c r="G97" s="9"/>
      <c r="H97" s="9" t="s">
        <v>729</v>
      </c>
      <c r="I97" s="9"/>
      <c r="J97" s="9"/>
      <c r="K97" s="9" t="s">
        <v>755</v>
      </c>
      <c r="L97" s="9" t="s">
        <v>23</v>
      </c>
      <c r="M97" s="9"/>
      <c r="N97" s="9"/>
      <c r="O97" s="9"/>
      <c r="P97" s="9"/>
      <c r="Q97" s="9"/>
      <c r="R97" s="9"/>
      <c r="S97" s="9"/>
      <c r="T97" s="9"/>
      <c r="U97" s="9"/>
      <c r="V97" s="9"/>
      <c r="W97" s="9"/>
      <c r="X97" s="9" t="s">
        <v>371</v>
      </c>
      <c r="Y97" s="9" t="s">
        <v>793</v>
      </c>
      <c r="Z97" s="8"/>
    </row>
    <row r="98" spans="1:26" ht="72">
      <c r="A98" s="9" t="s">
        <v>374</v>
      </c>
      <c r="B98" s="9" t="s">
        <v>376</v>
      </c>
      <c r="C98" s="9" t="s">
        <v>917</v>
      </c>
      <c r="D98" s="9" t="s">
        <v>377</v>
      </c>
      <c r="E98" s="9" t="s">
        <v>925</v>
      </c>
      <c r="F98" s="9"/>
      <c r="G98" s="9"/>
      <c r="H98" s="9" t="s">
        <v>734</v>
      </c>
      <c r="I98" s="9"/>
      <c r="J98" s="9"/>
      <c r="K98" s="9" t="s">
        <v>755</v>
      </c>
      <c r="L98" s="9" t="s">
        <v>23</v>
      </c>
      <c r="M98" s="9"/>
      <c r="N98" s="9"/>
      <c r="O98" s="9"/>
      <c r="P98" s="9"/>
      <c r="Q98" s="9"/>
      <c r="R98" s="9"/>
      <c r="S98" s="9"/>
      <c r="T98" s="9"/>
      <c r="U98" s="9"/>
      <c r="V98" s="9"/>
      <c r="W98" s="9"/>
      <c r="X98" s="9" t="s">
        <v>375</v>
      </c>
      <c r="Y98" s="9" t="s">
        <v>416</v>
      </c>
      <c r="Z98" s="8"/>
    </row>
    <row r="99" spans="1:26" ht="72">
      <c r="A99" s="9" t="s">
        <v>378</v>
      </c>
      <c r="B99" s="9" t="s">
        <v>380</v>
      </c>
      <c r="C99" s="9" t="s">
        <v>918</v>
      </c>
      <c r="D99" s="9" t="s">
        <v>381</v>
      </c>
      <c r="E99" s="9" t="s">
        <v>925</v>
      </c>
      <c r="F99" s="9"/>
      <c r="G99" s="9"/>
      <c r="H99" s="9" t="s">
        <v>734</v>
      </c>
      <c r="I99" s="9"/>
      <c r="J99" s="9"/>
      <c r="K99" s="9" t="e">
        <v>#N/A</v>
      </c>
      <c r="L99" s="9" t="s">
        <v>23</v>
      </c>
      <c r="M99" s="9"/>
      <c r="N99" s="9"/>
      <c r="O99" s="9"/>
      <c r="P99" s="9"/>
      <c r="Q99" s="9"/>
      <c r="R99" s="9"/>
      <c r="S99" s="9"/>
      <c r="T99" s="9"/>
      <c r="U99" s="9"/>
      <c r="V99" s="9"/>
      <c r="W99" s="9"/>
      <c r="X99" s="9" t="s">
        <v>379</v>
      </c>
      <c r="Y99" s="9" t="s">
        <v>416</v>
      </c>
      <c r="Z99" s="8"/>
    </row>
    <row r="100" spans="1:26" ht="172.8">
      <c r="A100" s="9" t="s">
        <v>382</v>
      </c>
      <c r="B100" s="9" t="s">
        <v>384</v>
      </c>
      <c r="C100" s="9" t="s">
        <v>919</v>
      </c>
      <c r="D100" s="9" t="s">
        <v>385</v>
      </c>
      <c r="E100" s="9" t="s">
        <v>925</v>
      </c>
      <c r="F100" s="9"/>
      <c r="G100" s="9"/>
      <c r="H100" s="9" t="s">
        <v>729</v>
      </c>
      <c r="I100" s="9"/>
      <c r="J100" s="9"/>
      <c r="K100" s="9" t="e">
        <v>#N/A</v>
      </c>
      <c r="L100" s="9" t="s">
        <v>23</v>
      </c>
      <c r="M100" s="9"/>
      <c r="N100" s="9"/>
      <c r="O100" s="9"/>
      <c r="P100" s="9"/>
      <c r="Q100" s="9"/>
      <c r="R100" s="9"/>
      <c r="S100" s="9"/>
      <c r="T100" s="9"/>
      <c r="U100" s="9"/>
      <c r="V100" s="9"/>
      <c r="W100" s="9"/>
      <c r="X100" s="9" t="s">
        <v>383</v>
      </c>
      <c r="Y100" s="9" t="s">
        <v>794</v>
      </c>
      <c r="Z100" s="8"/>
    </row>
    <row r="101" spans="1:26" ht="72">
      <c r="A101" s="9" t="s">
        <v>386</v>
      </c>
      <c r="B101" s="9" t="s">
        <v>387</v>
      </c>
      <c r="C101" s="9" t="s">
        <v>920</v>
      </c>
      <c r="D101" s="9" t="s">
        <v>388</v>
      </c>
      <c r="E101" s="9" t="s">
        <v>925</v>
      </c>
      <c r="F101" s="9"/>
      <c r="G101" s="9"/>
      <c r="H101" s="9" t="s">
        <v>729</v>
      </c>
      <c r="I101" s="9"/>
      <c r="J101" s="9"/>
      <c r="K101" s="9" t="e">
        <v>#N/A</v>
      </c>
      <c r="L101" s="9" t="s">
        <v>23</v>
      </c>
      <c r="M101" s="9"/>
      <c r="N101" s="9"/>
      <c r="O101" s="9"/>
      <c r="P101" s="9"/>
      <c r="Q101" s="9"/>
      <c r="R101" s="9"/>
      <c r="S101" s="9"/>
      <c r="T101" s="9"/>
      <c r="U101" s="9"/>
      <c r="V101" s="9"/>
      <c r="W101" s="9"/>
      <c r="X101" s="9" t="s">
        <v>383</v>
      </c>
      <c r="Y101" s="9" t="s">
        <v>794</v>
      </c>
      <c r="Z101" s="8"/>
    </row>
    <row r="102" spans="1:26" ht="86.4">
      <c r="A102" s="9" t="s">
        <v>389</v>
      </c>
      <c r="B102" s="9" t="s">
        <v>390</v>
      </c>
      <c r="C102" s="9" t="s">
        <v>391</v>
      </c>
      <c r="D102" s="9" t="s">
        <v>862</v>
      </c>
      <c r="E102" s="9" t="s">
        <v>925</v>
      </c>
      <c r="F102" s="9"/>
      <c r="G102" s="9"/>
      <c r="H102" s="9" t="s">
        <v>729</v>
      </c>
      <c r="I102" s="9"/>
      <c r="J102" s="9"/>
      <c r="K102" s="9" t="e">
        <v>#N/A</v>
      </c>
      <c r="L102" s="9" t="s">
        <v>23</v>
      </c>
      <c r="M102" s="9"/>
      <c r="N102" s="9"/>
      <c r="O102" s="9"/>
      <c r="P102" s="9"/>
      <c r="Q102" s="9"/>
      <c r="R102" s="9"/>
      <c r="S102" s="9"/>
      <c r="T102" s="9"/>
      <c r="U102" s="9"/>
      <c r="V102" s="9"/>
      <c r="W102" s="9"/>
      <c r="X102" s="9"/>
      <c r="Y102" s="9" t="s">
        <v>795</v>
      </c>
      <c r="Z102" s="8"/>
    </row>
    <row r="103" spans="1:26" ht="86.4">
      <c r="A103" s="9" t="s">
        <v>392</v>
      </c>
      <c r="B103" s="9" t="s">
        <v>393</v>
      </c>
      <c r="C103" s="9" t="s">
        <v>921</v>
      </c>
      <c r="D103" s="9" t="s">
        <v>394</v>
      </c>
      <c r="E103" s="9" t="s">
        <v>862</v>
      </c>
      <c r="F103" s="9"/>
      <c r="G103" s="9"/>
      <c r="H103" s="9" t="s">
        <v>729</v>
      </c>
      <c r="I103" s="9"/>
      <c r="J103" s="9"/>
      <c r="K103" s="9" t="s">
        <v>755</v>
      </c>
      <c r="L103" s="9" t="s">
        <v>23</v>
      </c>
      <c r="M103" s="9"/>
      <c r="N103" s="9"/>
      <c r="O103" s="9"/>
      <c r="P103" s="9"/>
      <c r="Q103" s="9"/>
      <c r="R103" s="9"/>
      <c r="S103" s="9"/>
      <c r="T103" s="9"/>
      <c r="U103" s="9"/>
      <c r="V103" s="9"/>
      <c r="W103" s="9"/>
      <c r="X103" s="9"/>
      <c r="Y103" s="9" t="s">
        <v>796</v>
      </c>
      <c r="Z103" s="8"/>
    </row>
    <row r="104" spans="1:26" ht="72">
      <c r="A104" s="9" t="s">
        <v>395</v>
      </c>
      <c r="B104" s="9" t="s">
        <v>396</v>
      </c>
      <c r="C104" s="9" t="s">
        <v>397</v>
      </c>
      <c r="D104" s="9" t="s">
        <v>862</v>
      </c>
      <c r="E104" s="9" t="s">
        <v>925</v>
      </c>
      <c r="F104" s="9"/>
      <c r="G104" s="9"/>
      <c r="H104" s="9" t="s">
        <v>729</v>
      </c>
      <c r="I104" s="9"/>
      <c r="J104" s="9"/>
      <c r="K104" s="9" t="e">
        <v>#N/A</v>
      </c>
      <c r="L104" s="9" t="s">
        <v>23</v>
      </c>
      <c r="M104" s="9"/>
      <c r="N104" s="9"/>
      <c r="O104" s="9"/>
      <c r="P104" s="9"/>
      <c r="Q104" s="9"/>
      <c r="R104" s="9"/>
      <c r="S104" s="9"/>
      <c r="T104" s="9"/>
      <c r="U104" s="9"/>
      <c r="V104" s="9"/>
      <c r="W104" s="9"/>
      <c r="X104" s="9"/>
      <c r="Y104" s="9" t="s">
        <v>423</v>
      </c>
      <c r="Z104" s="8"/>
    </row>
    <row r="105" spans="1:26" ht="115.2">
      <c r="A105" s="9" t="s">
        <v>398</v>
      </c>
      <c r="B105" s="9" t="s">
        <v>399</v>
      </c>
      <c r="C105" s="9" t="s">
        <v>922</v>
      </c>
      <c r="D105" s="9" t="s">
        <v>400</v>
      </c>
      <c r="E105" s="9" t="s">
        <v>862</v>
      </c>
      <c r="F105" s="9"/>
      <c r="G105" s="9"/>
      <c r="H105" s="9" t="s">
        <v>729</v>
      </c>
      <c r="I105" s="9"/>
      <c r="J105" s="9"/>
      <c r="K105" s="9" t="e">
        <v>#N/A</v>
      </c>
      <c r="L105" s="9" t="s">
        <v>23</v>
      </c>
      <c r="M105" s="9"/>
      <c r="N105" s="9"/>
      <c r="O105" s="9"/>
      <c r="P105" s="9"/>
      <c r="Q105" s="9"/>
      <c r="R105" s="9"/>
      <c r="S105" s="9"/>
      <c r="T105" s="9"/>
      <c r="U105" s="9"/>
      <c r="V105" s="9"/>
      <c r="W105" s="9"/>
      <c r="X105" s="9"/>
      <c r="Y105" s="9" t="s">
        <v>789</v>
      </c>
      <c r="Z105" s="8"/>
    </row>
    <row r="106" spans="1:26" ht="129.6">
      <c r="A106" s="9" t="s">
        <v>401</v>
      </c>
      <c r="B106" s="9" t="s">
        <v>403</v>
      </c>
      <c r="C106" s="9" t="s">
        <v>404</v>
      </c>
      <c r="D106" s="9" t="s">
        <v>862</v>
      </c>
      <c r="E106" s="9" t="s">
        <v>925</v>
      </c>
      <c r="F106" s="9"/>
      <c r="G106" s="9"/>
      <c r="H106" s="9" t="s">
        <v>733</v>
      </c>
      <c r="I106" s="9"/>
      <c r="J106" s="9"/>
      <c r="K106" s="9" t="e">
        <v>#N/A</v>
      </c>
      <c r="L106" s="9" t="s">
        <v>23</v>
      </c>
      <c r="M106" s="9"/>
      <c r="N106" s="9"/>
      <c r="O106" s="9"/>
      <c r="P106" s="9"/>
      <c r="Q106" s="9"/>
      <c r="R106" s="9"/>
      <c r="S106" s="9"/>
      <c r="T106" s="9"/>
      <c r="U106" s="9"/>
      <c r="V106" s="9"/>
      <c r="W106" s="9"/>
      <c r="X106" s="9" t="s">
        <v>402</v>
      </c>
      <c r="Y106" s="9" t="s">
        <v>797</v>
      </c>
      <c r="Z106" s="8"/>
    </row>
    <row r="107" spans="1:26" ht="273.60000000000002">
      <c r="A107" s="9" t="s">
        <v>405</v>
      </c>
      <c r="B107" s="9" t="s">
        <v>407</v>
      </c>
      <c r="C107" s="9" t="s">
        <v>923</v>
      </c>
      <c r="D107" s="9" t="s">
        <v>408</v>
      </c>
      <c r="E107" s="9" t="s">
        <v>925</v>
      </c>
      <c r="F107" s="9"/>
      <c r="G107" s="9"/>
      <c r="H107" s="9" t="e">
        <v>#N/A</v>
      </c>
      <c r="I107" s="9"/>
      <c r="J107" s="9"/>
      <c r="K107" s="9" t="s">
        <v>755</v>
      </c>
      <c r="L107" s="9" t="s">
        <v>23</v>
      </c>
      <c r="M107" s="9"/>
      <c r="N107" s="9"/>
      <c r="O107" s="9"/>
      <c r="P107" s="9"/>
      <c r="Q107" s="9"/>
      <c r="R107" s="9"/>
      <c r="S107" s="9"/>
      <c r="T107" s="9"/>
      <c r="U107" s="9"/>
      <c r="V107" s="9"/>
      <c r="W107" s="9"/>
      <c r="X107" s="9" t="s">
        <v>406</v>
      </c>
      <c r="Y107" s="9" t="s">
        <v>798</v>
      </c>
      <c r="Z107" s="8"/>
    </row>
  </sheetData>
  <conditionalFormatting sqref="L2:L107">
    <cfRule type="containsText" dxfId="1" priority="1" operator="containsText" text="Yes">
      <formula>NOT(ISERROR(SEARCH("Yes",L2)))</formula>
    </cfRule>
    <cfRule type="containsText" dxfId="0" priority="2" operator="containsText" text="No">
      <formula>NOT(ISERROR(SEARCH("No",L2)))</formula>
    </cfRule>
  </conditionalFormatting>
  <dataValidations count="1">
    <dataValidation type="list" allowBlank="1" showInputMessage="1" showErrorMessage="1" sqref="F2:G107 L2:L107" xr:uid="{B1155E60-440F-411B-A380-5ED7FF601485}">
      <formula1>"Yes,No"</formula1>
    </dataValidation>
  </dataValidations>
  <hyperlinks>
    <hyperlink ref="H1" r:id="rId1" xr:uid="{8FF8604C-1535-403F-91EA-C6C47C3F7D1D}"/>
    <hyperlink ref="C1" r:id="rId2" xr:uid="{33348FEA-1200-4B07-9A57-0D28DF669839}"/>
  </hyperlinks>
  <pageMargins left="0.7" right="0.7" top="0.75" bottom="0.75" header="0.3" footer="0.3"/>
  <pageSetup paperSize="9" orientation="portrait"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9FE81-F8C4-4550-A469-2F9739D8B346}">
  <dimension ref="A1:H768"/>
  <sheetViews>
    <sheetView workbookViewId="0"/>
  </sheetViews>
  <sheetFormatPr defaultRowHeight="14.4"/>
  <cols>
    <col min="1" max="1" width="15.44140625" bestFit="1" customWidth="1"/>
    <col min="2" max="2" width="34.21875" bestFit="1" customWidth="1"/>
    <col min="3" max="4" width="20" bestFit="1" customWidth="1"/>
    <col min="5" max="5" width="10.77734375" bestFit="1" customWidth="1"/>
    <col min="6" max="6" width="12.21875" bestFit="1" customWidth="1"/>
    <col min="7" max="7" width="0" hidden="1" customWidth="1"/>
    <col min="8" max="8" width="36.6640625" hidden="1" customWidth="1"/>
  </cols>
  <sheetData>
    <row r="1" spans="1:8">
      <c r="A1" t="s">
        <v>710</v>
      </c>
      <c r="B1" t="s">
        <v>709</v>
      </c>
    </row>
    <row r="2" spans="1:8" ht="43.2">
      <c r="A2" s="6" t="s">
        <v>708</v>
      </c>
      <c r="B2" s="6" t="s">
        <v>707</v>
      </c>
      <c r="C2" s="6" t="s">
        <v>706</v>
      </c>
      <c r="D2" s="6" t="s">
        <v>705</v>
      </c>
      <c r="E2" s="6" t="s">
        <v>704</v>
      </c>
      <c r="F2" s="6" t="s">
        <v>703</v>
      </c>
      <c r="G2" t="s">
        <v>756</v>
      </c>
      <c r="H2" t="s">
        <v>757</v>
      </c>
    </row>
    <row r="3" spans="1:8" ht="57.6">
      <c r="A3" s="1" t="s">
        <v>702</v>
      </c>
      <c r="B3" s="1" t="s">
        <v>701</v>
      </c>
      <c r="C3" s="5"/>
      <c r="D3" s="1"/>
      <c r="E3" s="1"/>
      <c r="F3" s="1"/>
      <c r="G3" s="7">
        <f>COUNTIF(SheetTable02[Focal Document
Element],A3)</f>
        <v>1</v>
      </c>
      <c r="H3" s="7" t="str">
        <f>IF(A3=A2,"",_xlfn.TEXTJOIN(", ", TRUE, C3:INDEX(C:C, ROW(C3)+SheetTable02[[#This Row],[Column1]]-1)))</f>
        <v/>
      </c>
    </row>
    <row r="4" spans="1:8" ht="86.4">
      <c r="A4" s="1" t="s">
        <v>700</v>
      </c>
      <c r="B4" s="1" t="s">
        <v>699</v>
      </c>
      <c r="C4" s="1"/>
      <c r="D4" s="1"/>
      <c r="E4" s="1"/>
      <c r="F4" s="1"/>
      <c r="G4" s="7">
        <f>COUNTIF(SheetTable02[Focal Document
Element],A4)</f>
        <v>1</v>
      </c>
      <c r="H4" s="7" t="str">
        <f>IF(A4=A3,"",_xlfn.TEXTJOIN(", ", TRUE, C4:INDEX(C:C, ROW(C4)+SheetTable02[[#This Row],[Column1]]-1)))</f>
        <v/>
      </c>
    </row>
    <row r="5" spans="1:8" ht="43.2">
      <c r="A5" s="1" t="s">
        <v>19</v>
      </c>
      <c r="B5" s="1" t="s">
        <v>21</v>
      </c>
      <c r="C5" s="1" t="s">
        <v>425</v>
      </c>
      <c r="D5" s="1"/>
      <c r="E5" s="1"/>
      <c r="F5" s="1"/>
      <c r="G5" s="7">
        <f>COUNTIF(SheetTable02[Focal Document
Element],A5)</f>
        <v>1</v>
      </c>
      <c r="H5" s="7" t="str">
        <f>IF(A5=A4,"",_xlfn.TEXTJOIN(", ", TRUE, C5:INDEX(C:C, ROW(C5)+SheetTable02[[#This Row],[Column1]]-1)))</f>
        <v>PM-11</v>
      </c>
    </row>
    <row r="6" spans="1:8" ht="72">
      <c r="A6" s="1" t="s">
        <v>24</v>
      </c>
      <c r="B6" s="1" t="s">
        <v>26</v>
      </c>
      <c r="C6" s="1" t="s">
        <v>636</v>
      </c>
      <c r="D6" s="1"/>
      <c r="E6" s="1"/>
      <c r="F6" s="1"/>
      <c r="G6" s="7">
        <f>COUNTIF(SheetTable02[Focal Document
Element],A6)</f>
        <v>7</v>
      </c>
      <c r="H6" s="7" t="str">
        <f>IF(A6=A5,"",_xlfn.TEXTJOIN(", ", TRUE, C6:INDEX(C:C, ROW(C6)+SheetTable02[[#This Row],[Column1]]-1)))</f>
        <v>PM-09
, PM-18, PM-30, SR-03, SR-05, SR-06, SR-08</v>
      </c>
    </row>
    <row r="7" spans="1:8" ht="72">
      <c r="A7" s="1" t="s">
        <v>24</v>
      </c>
      <c r="B7" s="1" t="s">
        <v>26</v>
      </c>
      <c r="C7" s="1" t="s">
        <v>460</v>
      </c>
      <c r="D7" s="1"/>
      <c r="E7" s="1"/>
      <c r="F7" s="1"/>
      <c r="G7" s="7">
        <f>COUNTIF(SheetTable02[Focal Document
Element],A7)</f>
        <v>7</v>
      </c>
      <c r="H7" s="7" t="str">
        <f>IF(A7=A6,"",_xlfn.TEXTJOIN(", ", TRUE, C7:INDEX(C:C, ROW(C7)+SheetTable02[[#This Row],[Column1]]-1)))</f>
        <v/>
      </c>
    </row>
    <row r="8" spans="1:8" ht="72">
      <c r="A8" s="1" t="s">
        <v>24</v>
      </c>
      <c r="B8" s="1" t="s">
        <v>26</v>
      </c>
      <c r="C8" s="1" t="s">
        <v>458</v>
      </c>
      <c r="D8" s="1"/>
      <c r="E8" s="1"/>
      <c r="F8" s="1"/>
      <c r="G8" s="7">
        <f>COUNTIF(SheetTable02[Focal Document
Element],A8)</f>
        <v>7</v>
      </c>
      <c r="H8" s="7" t="str">
        <f>IF(A8=A7,"",_xlfn.TEXTJOIN(", ", TRUE, C8:INDEX(C:C, ROW(C8)+SheetTable02[[#This Row],[Column1]]-1)))</f>
        <v/>
      </c>
    </row>
    <row r="9" spans="1:8" ht="72">
      <c r="A9" s="1" t="s">
        <v>24</v>
      </c>
      <c r="B9" s="1" t="s">
        <v>26</v>
      </c>
      <c r="C9" s="1" t="s">
        <v>437</v>
      </c>
      <c r="D9" s="1"/>
      <c r="E9" s="1"/>
      <c r="F9" s="1"/>
      <c r="G9" s="7">
        <f>COUNTIF(SheetTable02[Focal Document
Element],A9)</f>
        <v>7</v>
      </c>
      <c r="H9" s="7" t="str">
        <f>IF(A9=A8,"",_xlfn.TEXTJOIN(", ", TRUE, C9:INDEX(C:C, ROW(C9)+SheetTable02[[#This Row],[Column1]]-1)))</f>
        <v/>
      </c>
    </row>
    <row r="10" spans="1:8" ht="72">
      <c r="A10" s="1" t="s">
        <v>24</v>
      </c>
      <c r="B10" s="1" t="s">
        <v>26</v>
      </c>
      <c r="C10" s="1" t="s">
        <v>604</v>
      </c>
      <c r="D10" s="1"/>
      <c r="E10" s="1"/>
      <c r="F10" s="1"/>
      <c r="G10" s="7">
        <f>COUNTIF(SheetTable02[Focal Document
Element],A10)</f>
        <v>7</v>
      </c>
      <c r="H10" s="7" t="str">
        <f>IF(A10=A9,"",_xlfn.TEXTJOIN(", ", TRUE, C10:INDEX(C:C, ROW(C10)+SheetTable02[[#This Row],[Column1]]-1)))</f>
        <v/>
      </c>
    </row>
    <row r="11" spans="1:8" ht="72">
      <c r="A11" s="1" t="s">
        <v>24</v>
      </c>
      <c r="B11" s="1" t="s">
        <v>26</v>
      </c>
      <c r="C11" s="1" t="s">
        <v>631</v>
      </c>
      <c r="D11" s="1"/>
      <c r="E11" s="1"/>
      <c r="F11" s="1"/>
      <c r="G11" s="7">
        <f>COUNTIF(SheetTable02[Focal Document
Element],A11)</f>
        <v>7</v>
      </c>
      <c r="H11" s="7" t="str">
        <f>IF(A11=A10,"",_xlfn.TEXTJOIN(", ", TRUE, C11:INDEX(C:C, ROW(C11)+SheetTable02[[#This Row],[Column1]]-1)))</f>
        <v/>
      </c>
    </row>
    <row r="12" spans="1:8" ht="72">
      <c r="A12" s="1" t="s">
        <v>24</v>
      </c>
      <c r="B12" s="1" t="s">
        <v>26</v>
      </c>
      <c r="C12" s="1" t="s">
        <v>418</v>
      </c>
      <c r="D12" s="1"/>
      <c r="E12" s="1"/>
      <c r="F12" s="1"/>
      <c r="G12" s="7">
        <f>COUNTIF(SheetTable02[Focal Document
Element],A12)</f>
        <v>7</v>
      </c>
      <c r="H12" s="7" t="str">
        <f>IF(A12=A11,"",_xlfn.TEXTJOIN(", ", TRUE, C12:INDEX(C:C, ROW(C12)+SheetTable02[[#This Row],[Column1]]-1)))</f>
        <v/>
      </c>
    </row>
    <row r="13" spans="1:8" ht="72">
      <c r="A13" s="1" t="s">
        <v>28</v>
      </c>
      <c r="B13" s="1" t="s">
        <v>30</v>
      </c>
      <c r="C13" s="1" t="s">
        <v>596</v>
      </c>
      <c r="D13" s="1"/>
      <c r="E13" s="1"/>
      <c r="F13" s="1"/>
      <c r="G13" s="7">
        <f>COUNTIF(SheetTable02[Focal Document
Element],A13)</f>
        <v>22</v>
      </c>
      <c r="H13" s="7" t="str">
        <f>IF(A13=A12,"",_xlfn.TEXTJOIN(", ", TRUE, C13:INDEX(C:C, ROW(C13)+SheetTable02[[#This Row],[Column1]]-1)))</f>
        <v>AC-01
, AT-01, AU-01, CA-01, CM-01, CP-01, IA-01, IR-01, MA-01, MP-01, PE-01, PL-01, PM-01, PS-01, PT-01, RA-01, SA-01, SC-01, SI-01, SR-01, PM-28, PT</v>
      </c>
    </row>
    <row r="14" spans="1:8" ht="72">
      <c r="A14" s="1" t="s">
        <v>28</v>
      </c>
      <c r="B14" s="1" t="s">
        <v>30</v>
      </c>
      <c r="C14" s="1" t="s">
        <v>626</v>
      </c>
      <c r="D14" s="1"/>
      <c r="E14" s="1"/>
      <c r="F14" s="1"/>
      <c r="G14" s="7">
        <f>COUNTIF(SheetTable02[Focal Document
Element],A14)</f>
        <v>22</v>
      </c>
      <c r="H14" s="7" t="str">
        <f>IF(A14=A13,"",_xlfn.TEXTJOIN(", ", TRUE, C14:INDEX(C:C, ROW(C14)+SheetTable02[[#This Row],[Column1]]-1)))</f>
        <v/>
      </c>
    </row>
    <row r="15" spans="1:8" ht="72">
      <c r="A15" s="1" t="s">
        <v>28</v>
      </c>
      <c r="B15" s="1" t="s">
        <v>30</v>
      </c>
      <c r="C15" s="1" t="s">
        <v>625</v>
      </c>
      <c r="D15" s="1"/>
      <c r="E15" s="1"/>
      <c r="F15" s="1"/>
      <c r="G15" s="7">
        <f>COUNTIF(SheetTable02[Focal Document
Element],A15)</f>
        <v>22</v>
      </c>
      <c r="H15" s="7" t="str">
        <f>IF(A15=A14,"",_xlfn.TEXTJOIN(", ", TRUE, C15:INDEX(C:C, ROW(C15)+SheetTable02[[#This Row],[Column1]]-1)))</f>
        <v/>
      </c>
    </row>
    <row r="16" spans="1:8" ht="72">
      <c r="A16" s="1" t="s">
        <v>28</v>
      </c>
      <c r="B16" s="1" t="s">
        <v>30</v>
      </c>
      <c r="C16" s="1" t="s">
        <v>624</v>
      </c>
      <c r="D16" s="1"/>
      <c r="E16" s="1"/>
      <c r="F16" s="1"/>
      <c r="G16" s="7">
        <f>COUNTIF(SheetTable02[Focal Document
Element],A16)</f>
        <v>22</v>
      </c>
      <c r="H16" s="7" t="str">
        <f>IF(A16=A15,"",_xlfn.TEXTJOIN(", ", TRUE, C16:INDEX(C:C, ROW(C16)+SheetTable02[[#This Row],[Column1]]-1)))</f>
        <v/>
      </c>
    </row>
    <row r="17" spans="1:8" ht="72">
      <c r="A17" s="1" t="s">
        <v>28</v>
      </c>
      <c r="B17" s="1" t="s">
        <v>30</v>
      </c>
      <c r="C17" s="1" t="s">
        <v>541</v>
      </c>
      <c r="D17" s="1"/>
      <c r="E17" s="1"/>
      <c r="F17" s="1"/>
      <c r="G17" s="7">
        <f>COUNTIF(SheetTable02[Focal Document
Element],A17)</f>
        <v>22</v>
      </c>
      <c r="H17" s="7" t="str">
        <f>IF(A17=A16,"",_xlfn.TEXTJOIN(", ", TRUE, C17:INDEX(C:C, ROW(C17)+SheetTable02[[#This Row],[Column1]]-1)))</f>
        <v/>
      </c>
    </row>
    <row r="18" spans="1:8" ht="72">
      <c r="A18" s="1" t="s">
        <v>28</v>
      </c>
      <c r="B18" s="1" t="s">
        <v>30</v>
      </c>
      <c r="C18" s="1" t="s">
        <v>623</v>
      </c>
      <c r="D18" s="1"/>
      <c r="E18" s="1"/>
      <c r="F18" s="1"/>
      <c r="G18" s="7">
        <f>COUNTIF(SheetTable02[Focal Document
Element],A18)</f>
        <v>22</v>
      </c>
      <c r="H18" s="7" t="str">
        <f>IF(A18=A17,"",_xlfn.TEXTJOIN(", ", TRUE, C18:INDEX(C:C, ROW(C18)+SheetTable02[[#This Row],[Column1]]-1)))</f>
        <v/>
      </c>
    </row>
    <row r="19" spans="1:8" ht="72">
      <c r="A19" s="1" t="s">
        <v>28</v>
      </c>
      <c r="B19" s="1" t="s">
        <v>30</v>
      </c>
      <c r="C19" s="1" t="s">
        <v>594</v>
      </c>
      <c r="D19" s="1"/>
      <c r="E19" s="1"/>
      <c r="F19" s="1"/>
      <c r="G19" s="7">
        <f>COUNTIF(SheetTable02[Focal Document
Element],A19)</f>
        <v>22</v>
      </c>
      <c r="H19" s="7" t="str">
        <f>IF(A19=A18,"",_xlfn.TEXTJOIN(", ", TRUE, C19:INDEX(C:C, ROW(C19)+SheetTable02[[#This Row],[Column1]]-1)))</f>
        <v/>
      </c>
    </row>
    <row r="20" spans="1:8" ht="72">
      <c r="A20" s="1" t="s">
        <v>28</v>
      </c>
      <c r="B20" s="1" t="s">
        <v>30</v>
      </c>
      <c r="C20" s="1" t="s">
        <v>424</v>
      </c>
      <c r="D20" s="1"/>
      <c r="E20" s="1"/>
      <c r="F20" s="1"/>
      <c r="G20" s="7">
        <f>COUNTIF(SheetTable02[Focal Document
Element],A20)</f>
        <v>22</v>
      </c>
      <c r="H20" s="7" t="str">
        <f>IF(A20=A19,"",_xlfn.TEXTJOIN(", ", TRUE, C20:INDEX(C:C, ROW(C20)+SheetTable02[[#This Row],[Column1]]-1)))</f>
        <v/>
      </c>
    </row>
    <row r="21" spans="1:8" ht="72">
      <c r="A21" s="1" t="s">
        <v>28</v>
      </c>
      <c r="B21" s="1" t="s">
        <v>30</v>
      </c>
      <c r="C21" s="1" t="s">
        <v>622</v>
      </c>
      <c r="D21" s="1"/>
      <c r="E21" s="1"/>
      <c r="F21" s="1"/>
      <c r="G21" s="7">
        <f>COUNTIF(SheetTable02[Focal Document
Element],A21)</f>
        <v>22</v>
      </c>
      <c r="H21" s="7" t="str">
        <f>IF(A21=A20,"",_xlfn.TEXTJOIN(", ", TRUE, C21:INDEX(C:C, ROW(C21)+SheetTable02[[#This Row],[Column1]]-1)))</f>
        <v/>
      </c>
    </row>
    <row r="22" spans="1:8" ht="72">
      <c r="A22" s="1" t="s">
        <v>28</v>
      </c>
      <c r="B22" s="1" t="s">
        <v>30</v>
      </c>
      <c r="C22" s="1" t="s">
        <v>621</v>
      </c>
      <c r="D22" s="1"/>
      <c r="E22" s="1"/>
      <c r="F22" s="1"/>
      <c r="G22" s="7">
        <f>COUNTIF(SheetTable02[Focal Document
Element],A22)</f>
        <v>22</v>
      </c>
      <c r="H22" s="7" t="str">
        <f>IF(A22=A21,"",_xlfn.TEXTJOIN(", ", TRUE, C22:INDEX(C:C, ROW(C22)+SheetTable02[[#This Row],[Column1]]-1)))</f>
        <v/>
      </c>
    </row>
    <row r="23" spans="1:8" ht="72">
      <c r="A23" s="1" t="s">
        <v>28</v>
      </c>
      <c r="B23" s="1" t="s">
        <v>30</v>
      </c>
      <c r="C23" s="1" t="s">
        <v>620</v>
      </c>
      <c r="D23" s="1"/>
      <c r="E23" s="1"/>
      <c r="F23" s="1"/>
      <c r="G23" s="7">
        <f>COUNTIF(SheetTable02[Focal Document
Element],A23)</f>
        <v>22</v>
      </c>
      <c r="H23" s="7" t="str">
        <f>IF(A23=A22,"",_xlfn.TEXTJOIN(", ", TRUE, C23:INDEX(C:C, ROW(C23)+SheetTable02[[#This Row],[Column1]]-1)))</f>
        <v/>
      </c>
    </row>
    <row r="24" spans="1:8" ht="72">
      <c r="A24" s="1" t="s">
        <v>28</v>
      </c>
      <c r="B24" s="1" t="s">
        <v>30</v>
      </c>
      <c r="C24" s="1" t="s">
        <v>619</v>
      </c>
      <c r="D24" s="1"/>
      <c r="E24" s="1"/>
      <c r="F24" s="1"/>
      <c r="G24" s="7">
        <f>COUNTIF(SheetTable02[Focal Document
Element],A24)</f>
        <v>22</v>
      </c>
      <c r="H24" s="7" t="str">
        <f>IF(A24=A23,"",_xlfn.TEXTJOIN(", ", TRUE, C24:INDEX(C:C, ROW(C24)+SheetTable02[[#This Row],[Column1]]-1)))</f>
        <v/>
      </c>
    </row>
    <row r="25" spans="1:8" ht="72">
      <c r="A25" s="1" t="s">
        <v>28</v>
      </c>
      <c r="B25" s="1" t="s">
        <v>30</v>
      </c>
      <c r="C25" s="1" t="s">
        <v>618</v>
      </c>
      <c r="D25" s="1"/>
      <c r="E25" s="1"/>
      <c r="F25" s="1"/>
      <c r="G25" s="7">
        <f>COUNTIF(SheetTable02[Focal Document
Element],A25)</f>
        <v>22</v>
      </c>
      <c r="H25" s="7" t="str">
        <f>IF(A25=A24,"",_xlfn.TEXTJOIN(", ", TRUE, C25:INDEX(C:C, ROW(C25)+SheetTable02[[#This Row],[Column1]]-1)))</f>
        <v/>
      </c>
    </row>
    <row r="26" spans="1:8" ht="72">
      <c r="A26" s="1" t="s">
        <v>28</v>
      </c>
      <c r="B26" s="1" t="s">
        <v>30</v>
      </c>
      <c r="C26" s="1" t="s">
        <v>617</v>
      </c>
      <c r="D26" s="1"/>
      <c r="E26" s="1"/>
      <c r="F26" s="1"/>
      <c r="G26" s="7">
        <f>COUNTIF(SheetTable02[Focal Document
Element],A26)</f>
        <v>22</v>
      </c>
      <c r="H26" s="7" t="str">
        <f>IF(A26=A25,"",_xlfn.TEXTJOIN(", ", TRUE, C26:INDEX(C:C, ROW(C26)+SheetTable02[[#This Row],[Column1]]-1)))</f>
        <v/>
      </c>
    </row>
    <row r="27" spans="1:8" ht="72">
      <c r="A27" s="1" t="s">
        <v>28</v>
      </c>
      <c r="B27" s="1" t="s">
        <v>30</v>
      </c>
      <c r="C27" s="1" t="s">
        <v>616</v>
      </c>
      <c r="D27" s="1"/>
      <c r="E27" s="1"/>
      <c r="F27" s="1"/>
      <c r="G27" s="7">
        <f>COUNTIF(SheetTable02[Focal Document
Element],A27)</f>
        <v>22</v>
      </c>
      <c r="H27" s="7" t="str">
        <f>IF(A27=A26,"",_xlfn.TEXTJOIN(", ", TRUE, C27:INDEX(C:C, ROW(C27)+SheetTable02[[#This Row],[Column1]]-1)))</f>
        <v/>
      </c>
    </row>
    <row r="28" spans="1:8" ht="72">
      <c r="A28" s="1" t="s">
        <v>28</v>
      </c>
      <c r="B28" s="1" t="s">
        <v>30</v>
      </c>
      <c r="C28" s="1" t="s">
        <v>615</v>
      </c>
      <c r="D28" s="1"/>
      <c r="E28" s="1"/>
      <c r="F28" s="1"/>
      <c r="G28" s="7">
        <f>COUNTIF(SheetTable02[Focal Document
Element],A28)</f>
        <v>22</v>
      </c>
      <c r="H28" s="7" t="str">
        <f>IF(A28=A27,"",_xlfn.TEXTJOIN(", ", TRUE, C28:INDEX(C:C, ROW(C28)+SheetTable02[[#This Row],[Column1]]-1)))</f>
        <v/>
      </c>
    </row>
    <row r="29" spans="1:8" ht="72">
      <c r="A29" s="1" t="s">
        <v>28</v>
      </c>
      <c r="B29" s="1" t="s">
        <v>30</v>
      </c>
      <c r="C29" s="1" t="s">
        <v>614</v>
      </c>
      <c r="D29" s="1"/>
      <c r="E29" s="1"/>
      <c r="F29" s="1"/>
      <c r="G29" s="7">
        <f>COUNTIF(SheetTable02[Focal Document
Element],A29)</f>
        <v>22</v>
      </c>
      <c r="H29" s="7" t="str">
        <f>IF(A29=A28,"",_xlfn.TEXTJOIN(", ", TRUE, C29:INDEX(C:C, ROW(C29)+SheetTable02[[#This Row],[Column1]]-1)))</f>
        <v/>
      </c>
    </row>
    <row r="30" spans="1:8" ht="72">
      <c r="A30" s="1" t="s">
        <v>28</v>
      </c>
      <c r="B30" s="1" t="s">
        <v>30</v>
      </c>
      <c r="C30" s="1" t="s">
        <v>613</v>
      </c>
      <c r="D30" s="1"/>
      <c r="E30" s="1"/>
      <c r="F30" s="1"/>
      <c r="G30" s="7">
        <f>COUNTIF(SheetTable02[Focal Document
Element],A30)</f>
        <v>22</v>
      </c>
      <c r="H30" s="7" t="str">
        <f>IF(A30=A29,"",_xlfn.TEXTJOIN(", ", TRUE, C30:INDEX(C:C, ROW(C30)+SheetTable02[[#This Row],[Column1]]-1)))</f>
        <v/>
      </c>
    </row>
    <row r="31" spans="1:8" ht="72">
      <c r="A31" s="1" t="s">
        <v>28</v>
      </c>
      <c r="B31" s="1" t="s">
        <v>30</v>
      </c>
      <c r="C31" s="1" t="s">
        <v>612</v>
      </c>
      <c r="D31" s="1"/>
      <c r="E31" s="1"/>
      <c r="F31" s="1"/>
      <c r="G31" s="7">
        <f>COUNTIF(SheetTable02[Focal Document
Element],A31)</f>
        <v>22</v>
      </c>
      <c r="H31" s="7" t="str">
        <f>IF(A31=A30,"",_xlfn.TEXTJOIN(", ", TRUE, C31:INDEX(C:C, ROW(C31)+SheetTable02[[#This Row],[Column1]]-1)))</f>
        <v/>
      </c>
    </row>
    <row r="32" spans="1:8" ht="72">
      <c r="A32" s="1" t="s">
        <v>28</v>
      </c>
      <c r="B32" s="1" t="s">
        <v>30</v>
      </c>
      <c r="C32" s="1" t="s">
        <v>611</v>
      </c>
      <c r="D32" s="1"/>
      <c r="E32" s="1"/>
      <c r="F32" s="1"/>
      <c r="G32" s="7">
        <f>COUNTIF(SheetTable02[Focal Document
Element],A32)</f>
        <v>22</v>
      </c>
      <c r="H32" s="7" t="str">
        <f>IF(A32=A31,"",_xlfn.TEXTJOIN(", ", TRUE, C32:INDEX(C:C, ROW(C32)+SheetTable02[[#This Row],[Column1]]-1)))</f>
        <v/>
      </c>
    </row>
    <row r="33" spans="1:8" ht="72">
      <c r="A33" s="1" t="s">
        <v>28</v>
      </c>
      <c r="B33" s="1" t="s">
        <v>30</v>
      </c>
      <c r="C33" s="1" t="s">
        <v>459</v>
      </c>
      <c r="D33" s="1"/>
      <c r="E33" s="1"/>
      <c r="F33" s="1"/>
      <c r="G33" s="7">
        <f>COUNTIF(SheetTable02[Focal Document
Element],A33)</f>
        <v>22</v>
      </c>
      <c r="H33" s="7" t="str">
        <f>IF(A33=A32,"",_xlfn.TEXTJOIN(", ", TRUE, C33:INDEX(C:C, ROW(C33)+SheetTable02[[#This Row],[Column1]]-1)))</f>
        <v/>
      </c>
    </row>
    <row r="34" spans="1:8" ht="72">
      <c r="A34" s="1" t="s">
        <v>28</v>
      </c>
      <c r="B34" s="1" t="s">
        <v>30</v>
      </c>
      <c r="C34" s="1" t="s">
        <v>698</v>
      </c>
      <c r="D34" s="1"/>
      <c r="E34" s="1"/>
      <c r="F34" s="1"/>
      <c r="G34" s="7">
        <f>COUNTIF(SheetTable02[Focal Document
Element],A34)</f>
        <v>22</v>
      </c>
      <c r="H34" s="7" t="str">
        <f>IF(A34=A33,"",_xlfn.TEXTJOIN(", ", TRUE, C34:INDEX(C:C, ROW(C34)+SheetTable02[[#This Row],[Column1]]-1)))</f>
        <v/>
      </c>
    </row>
    <row r="35" spans="1:8" ht="57.6">
      <c r="A35" s="1" t="s">
        <v>32</v>
      </c>
      <c r="B35" s="1" t="s">
        <v>34</v>
      </c>
      <c r="C35" s="1" t="s">
        <v>427</v>
      </c>
      <c r="D35" s="1"/>
      <c r="E35" s="1"/>
      <c r="F35" s="1"/>
      <c r="G35" s="7">
        <f>COUNTIF(SheetTable02[Focal Document
Element],A35)</f>
        <v>5</v>
      </c>
      <c r="H35" s="7" t="str">
        <f>IF(A35=A34,"",_xlfn.TEXTJOIN(", ", TRUE, C35:INDEX(C:C, ROW(C35)+SheetTable02[[#This Row],[Column1]]-1)))</f>
        <v>PM-08, PM-11, CP-02(08), PM-30(01), RA-09</v>
      </c>
    </row>
    <row r="36" spans="1:8" ht="57.6">
      <c r="A36" s="1" t="s">
        <v>32</v>
      </c>
      <c r="B36" s="1" t="s">
        <v>34</v>
      </c>
      <c r="C36" s="1" t="s">
        <v>425</v>
      </c>
      <c r="D36" s="1"/>
      <c r="E36" s="1"/>
      <c r="F36" s="1"/>
      <c r="G36" s="7">
        <f>COUNTIF(SheetTable02[Focal Document
Element],A36)</f>
        <v>5</v>
      </c>
      <c r="H36" s="7" t="str">
        <f>IF(A36=A35,"",_xlfn.TEXTJOIN(", ", TRUE, C36:INDEX(C:C, ROW(C36)+SheetTable02[[#This Row],[Column1]]-1)))</f>
        <v/>
      </c>
    </row>
    <row r="37" spans="1:8" ht="57.6">
      <c r="A37" s="1" t="s">
        <v>32</v>
      </c>
      <c r="B37" s="1" t="s">
        <v>34</v>
      </c>
      <c r="C37" s="1" t="s">
        <v>697</v>
      </c>
      <c r="D37" s="1"/>
      <c r="E37" s="1"/>
      <c r="F37" s="1"/>
      <c r="G37" s="7">
        <f>COUNTIF(SheetTable02[Focal Document
Element],A37)</f>
        <v>5</v>
      </c>
      <c r="H37" s="7" t="str">
        <f>IF(A37=A36,"",_xlfn.TEXTJOIN(", ", TRUE, C37:INDEX(C:C, ROW(C37)+SheetTable02[[#This Row],[Column1]]-1)))</f>
        <v/>
      </c>
    </row>
    <row r="38" spans="1:8" ht="57.6">
      <c r="A38" s="1" t="s">
        <v>32</v>
      </c>
      <c r="B38" s="1" t="s">
        <v>34</v>
      </c>
      <c r="C38" s="1" t="s">
        <v>696</v>
      </c>
      <c r="D38" s="1"/>
      <c r="E38" s="1"/>
      <c r="F38" s="1"/>
      <c r="G38" s="7">
        <f>COUNTIF(SheetTable02[Focal Document
Element],A38)</f>
        <v>5</v>
      </c>
      <c r="H38" s="7" t="str">
        <f>IF(A38=A37,"",_xlfn.TEXTJOIN(", ", TRUE, C38:INDEX(C:C, ROW(C38)+SheetTable02[[#This Row],[Column1]]-1)))</f>
        <v/>
      </c>
    </row>
    <row r="39" spans="1:8" ht="57.6">
      <c r="A39" s="1" t="s">
        <v>32</v>
      </c>
      <c r="B39" s="1" t="s">
        <v>34</v>
      </c>
      <c r="C39" s="1" t="s">
        <v>638</v>
      </c>
      <c r="D39" s="1"/>
      <c r="E39" s="1"/>
      <c r="F39" s="1"/>
      <c r="G39" s="7">
        <f>COUNTIF(SheetTable02[Focal Document
Element],A39)</f>
        <v>5</v>
      </c>
      <c r="H39" s="7" t="str">
        <f>IF(A39=A38,"",_xlfn.TEXTJOIN(", ", TRUE, C39:INDEX(C:C, ROW(C39)+SheetTable02[[#This Row],[Column1]]-1)))</f>
        <v/>
      </c>
    </row>
    <row r="40" spans="1:8" ht="43.2">
      <c r="A40" s="1" t="s">
        <v>36</v>
      </c>
      <c r="B40" s="1" t="s">
        <v>38</v>
      </c>
      <c r="C40" s="1" t="s">
        <v>695</v>
      </c>
      <c r="D40" s="1"/>
      <c r="E40" s="1"/>
      <c r="F40" s="1"/>
      <c r="G40" s="7">
        <f>COUNTIF(SheetTable02[Focal Document
Element],A40)</f>
        <v>5</v>
      </c>
      <c r="H40" s="7" t="str">
        <f>IF(A40=A39,"",_xlfn.TEXTJOIN(", ", TRUE, C40:INDEX(C:C, ROW(C40)+SheetTable02[[#This Row],[Column1]]-1)))</f>
        <v>PM-11
, PM-30, RA-07, SA-09, SR-05</v>
      </c>
    </row>
    <row r="41" spans="1:8" ht="43.2">
      <c r="A41" s="1" t="s">
        <v>36</v>
      </c>
      <c r="B41" s="1" t="s">
        <v>38</v>
      </c>
      <c r="C41" s="1" t="s">
        <v>458</v>
      </c>
      <c r="D41" s="1"/>
      <c r="E41" s="1"/>
      <c r="F41" s="1"/>
      <c r="G41" s="7">
        <f>COUNTIF(SheetTable02[Focal Document
Element],A41)</f>
        <v>5</v>
      </c>
      <c r="H41" s="7" t="str">
        <f>IF(A41=A40,"",_xlfn.TEXTJOIN(", ", TRUE, C41:INDEX(C:C, ROW(C41)+SheetTable02[[#This Row],[Column1]]-1)))</f>
        <v/>
      </c>
    </row>
    <row r="42" spans="1:8" ht="43.2">
      <c r="A42" s="1" t="s">
        <v>36</v>
      </c>
      <c r="B42" s="1" t="s">
        <v>38</v>
      </c>
      <c r="C42" s="1" t="s">
        <v>441</v>
      </c>
      <c r="D42" s="1"/>
      <c r="E42" s="1"/>
      <c r="F42" s="1"/>
      <c r="G42" s="7">
        <f>COUNTIF(SheetTable02[Focal Document
Element],A42)</f>
        <v>5</v>
      </c>
      <c r="H42" s="7" t="str">
        <f>IF(A42=A41,"",_xlfn.TEXTJOIN(", ", TRUE, C42:INDEX(C:C, ROW(C42)+SheetTable02[[#This Row],[Column1]]-1)))</f>
        <v/>
      </c>
    </row>
    <row r="43" spans="1:8" ht="43.2">
      <c r="A43" s="1" t="s">
        <v>36</v>
      </c>
      <c r="B43" s="1" t="s">
        <v>38</v>
      </c>
      <c r="C43" s="1" t="s">
        <v>476</v>
      </c>
      <c r="D43" s="1"/>
      <c r="E43" s="1"/>
      <c r="F43" s="1"/>
      <c r="G43" s="7">
        <f>COUNTIF(SheetTable02[Focal Document
Element],A43)</f>
        <v>5</v>
      </c>
      <c r="H43" s="7" t="str">
        <f>IF(A43=A42,"",_xlfn.TEXTJOIN(", ", TRUE, C43:INDEX(C:C, ROW(C43)+SheetTable02[[#This Row],[Column1]]-1)))</f>
        <v/>
      </c>
    </row>
    <row r="44" spans="1:8" ht="43.2">
      <c r="A44" s="1" t="s">
        <v>36</v>
      </c>
      <c r="B44" s="1" t="s">
        <v>38</v>
      </c>
      <c r="C44" s="1" t="s">
        <v>604</v>
      </c>
      <c r="D44" s="1"/>
      <c r="E44" s="1"/>
      <c r="F44" s="1"/>
      <c r="G44" s="7">
        <f>COUNTIF(SheetTable02[Focal Document
Element],A44)</f>
        <v>5</v>
      </c>
      <c r="H44" s="7" t="str">
        <f>IF(A44=A43,"",_xlfn.TEXTJOIN(", ", TRUE, C44:INDEX(C:C, ROW(C44)+SheetTable02[[#This Row],[Column1]]-1)))</f>
        <v/>
      </c>
    </row>
    <row r="45" spans="1:8" ht="72">
      <c r="A45" s="1" t="s">
        <v>694</v>
      </c>
      <c r="B45" s="1" t="s">
        <v>693</v>
      </c>
      <c r="C45" s="1"/>
      <c r="D45" s="1"/>
      <c r="E45" s="1"/>
      <c r="F45" s="1"/>
      <c r="G45" s="7">
        <f>COUNTIF(SheetTable02[Focal Document
Element],A45)</f>
        <v>1</v>
      </c>
      <c r="H45" s="7" t="str">
        <f>IF(A45=A44,"",_xlfn.TEXTJOIN(", ", TRUE, C45:INDEX(C:C, ROW(C45)+SheetTable02[[#This Row],[Column1]]-1)))</f>
        <v/>
      </c>
    </row>
    <row r="46" spans="1:8" ht="43.2">
      <c r="A46" s="1" t="s">
        <v>40</v>
      </c>
      <c r="B46" s="1" t="s">
        <v>42</v>
      </c>
      <c r="C46" s="1" t="s">
        <v>636</v>
      </c>
      <c r="D46" s="1"/>
      <c r="E46" s="1"/>
      <c r="F46" s="1"/>
      <c r="G46" s="7">
        <f>COUNTIF(SheetTable02[Focal Document
Element],A46)</f>
        <v>3</v>
      </c>
      <c r="H46" s="7" t="str">
        <f>IF(A46=A45,"",_xlfn.TEXTJOIN(", ", TRUE, C46:INDEX(C:C, ROW(C46)+SheetTable02[[#This Row],[Column1]]-1)))</f>
        <v>PM-09
, RA-07, SR-02</v>
      </c>
    </row>
    <row r="47" spans="1:8" ht="43.2">
      <c r="A47" s="1" t="s">
        <v>40</v>
      </c>
      <c r="B47" s="1" t="s">
        <v>42</v>
      </c>
      <c r="C47" s="1" t="s">
        <v>441</v>
      </c>
      <c r="D47" s="1"/>
      <c r="E47" s="1"/>
      <c r="F47" s="1"/>
      <c r="G47" s="7">
        <f>COUNTIF(SheetTable02[Focal Document
Element],A47)</f>
        <v>3</v>
      </c>
      <c r="H47" s="7" t="str">
        <f>IF(A47=A46,"",_xlfn.TEXTJOIN(", ", TRUE, C47:INDEX(C:C, ROW(C47)+SheetTable02[[#This Row],[Column1]]-1)))</f>
        <v/>
      </c>
    </row>
    <row r="48" spans="1:8" ht="43.2">
      <c r="A48" s="1" t="s">
        <v>40</v>
      </c>
      <c r="B48" s="1" t="s">
        <v>42</v>
      </c>
      <c r="C48" s="1" t="s">
        <v>601</v>
      </c>
      <c r="G48" s="7">
        <f>COUNTIF(SheetTable02[Focal Document
Element],A48)</f>
        <v>3</v>
      </c>
      <c r="H48" s="7" t="str">
        <f>IF(A48=A47,"",_xlfn.TEXTJOIN(", ", TRUE, C48:INDEX(C:C, ROW(C48)+SheetTable02[[#This Row],[Column1]]-1)))</f>
        <v/>
      </c>
    </row>
    <row r="49" spans="1:8" ht="43.2">
      <c r="A49" s="1" t="s">
        <v>44</v>
      </c>
      <c r="B49" s="1" t="s">
        <v>46</v>
      </c>
      <c r="C49" s="1" t="s">
        <v>636</v>
      </c>
      <c r="D49" s="1"/>
      <c r="E49" s="1"/>
      <c r="F49" s="1"/>
      <c r="G49" s="7">
        <f>COUNTIF(SheetTable02[Focal Document
Element],A49)</f>
        <v>1</v>
      </c>
      <c r="H49" s="7" t="str">
        <f>IF(A49=A48,"",_xlfn.TEXTJOIN(", ", TRUE, C49:INDEX(C:C, ROW(C49)+SheetTable02[[#This Row],[Column1]]-1)))</f>
        <v xml:space="preserve">PM-09
</v>
      </c>
    </row>
    <row r="50" spans="1:8" ht="43.2">
      <c r="A50" s="1" t="s">
        <v>48</v>
      </c>
      <c r="B50" s="1" t="s">
        <v>50</v>
      </c>
      <c r="C50" s="1" t="s">
        <v>692</v>
      </c>
      <c r="D50" s="1"/>
      <c r="E50" s="1"/>
      <c r="F50" s="1"/>
      <c r="G50" s="7">
        <f>COUNTIF(SheetTable02[Focal Document
Element],A50)</f>
        <v>5</v>
      </c>
      <c r="H50" s="7" t="str">
        <f>IF(A50=A49,"",_xlfn.TEXTJOIN(", ", TRUE, C50:INDEX(C:C, ROW(C50)+SheetTable02[[#This Row],[Column1]]-1)))</f>
        <v>PM-03
, PM-09, PM-30, RA-07, SR-02</v>
      </c>
    </row>
    <row r="51" spans="1:8" ht="43.2">
      <c r="A51" s="1" t="s">
        <v>48</v>
      </c>
      <c r="B51" s="1" t="s">
        <v>50</v>
      </c>
      <c r="C51" s="1" t="s">
        <v>426</v>
      </c>
      <c r="D51" s="1"/>
      <c r="E51" s="1"/>
      <c r="F51" s="1"/>
      <c r="G51" s="7">
        <f>COUNTIF(SheetTable02[Focal Document
Element],A51)</f>
        <v>5</v>
      </c>
      <c r="H51" s="7" t="str">
        <f>IF(A51=A50,"",_xlfn.TEXTJOIN(", ", TRUE, C51:INDEX(C:C, ROW(C51)+SheetTable02[[#This Row],[Column1]]-1)))</f>
        <v/>
      </c>
    </row>
    <row r="52" spans="1:8" ht="43.2">
      <c r="A52" s="1" t="s">
        <v>48</v>
      </c>
      <c r="B52" s="1" t="s">
        <v>50</v>
      </c>
      <c r="C52" s="1" t="s">
        <v>458</v>
      </c>
      <c r="D52" s="1"/>
      <c r="E52" s="1"/>
      <c r="F52" s="1"/>
      <c r="G52" s="7">
        <f>COUNTIF(SheetTable02[Focal Document
Element],A52)</f>
        <v>5</v>
      </c>
      <c r="H52" s="7" t="str">
        <f>IF(A52=A51,"",_xlfn.TEXTJOIN(", ", TRUE, C52:INDEX(C:C, ROW(C52)+SheetTable02[[#This Row],[Column1]]-1)))</f>
        <v/>
      </c>
    </row>
    <row r="53" spans="1:8" ht="43.2">
      <c r="A53" s="1" t="s">
        <v>48</v>
      </c>
      <c r="B53" s="1" t="s">
        <v>50</v>
      </c>
      <c r="C53" s="1" t="s">
        <v>441</v>
      </c>
      <c r="D53" s="1"/>
      <c r="E53" s="1"/>
      <c r="F53" s="1"/>
      <c r="G53" s="7">
        <f>COUNTIF(SheetTable02[Focal Document
Element],A53)</f>
        <v>5</v>
      </c>
      <c r="H53" s="7" t="str">
        <f>IF(A53=A52,"",_xlfn.TEXTJOIN(", ", TRUE, C53:INDEX(C:C, ROW(C53)+SheetTable02[[#This Row],[Column1]]-1)))</f>
        <v/>
      </c>
    </row>
    <row r="54" spans="1:8" ht="43.2">
      <c r="A54" s="1" t="s">
        <v>48</v>
      </c>
      <c r="B54" s="1" t="s">
        <v>50</v>
      </c>
      <c r="C54" s="1" t="s">
        <v>601</v>
      </c>
      <c r="D54" s="1"/>
      <c r="E54" s="1"/>
      <c r="F54" s="1"/>
      <c r="G54" s="7">
        <f>COUNTIF(SheetTable02[Focal Document
Element],A54)</f>
        <v>5</v>
      </c>
      <c r="H54" s="7" t="str">
        <f>IF(A54=A53,"",_xlfn.TEXTJOIN(", ", TRUE, C54:INDEX(C:C, ROW(C54)+SheetTable02[[#This Row],[Column1]]-1)))</f>
        <v/>
      </c>
    </row>
    <row r="55" spans="1:8" ht="43.2">
      <c r="A55" s="1" t="s">
        <v>52</v>
      </c>
      <c r="B55" s="1" t="s">
        <v>53</v>
      </c>
      <c r="C55" s="1" t="s">
        <v>636</v>
      </c>
      <c r="D55" s="1"/>
      <c r="E55" s="1"/>
      <c r="F55" s="1"/>
      <c r="G55" s="7">
        <f>COUNTIF(SheetTable02[Focal Document
Element],A55)</f>
        <v>4</v>
      </c>
      <c r="H55" s="7" t="str">
        <f>IF(A55=A54,"",_xlfn.TEXTJOIN(", ", TRUE, C55:INDEX(C:C, ROW(C55)+SheetTable02[[#This Row],[Column1]]-1)))</f>
        <v>PM-09
, PM-28, PM-30, SR-02</v>
      </c>
    </row>
    <row r="56" spans="1:8" ht="43.2">
      <c r="A56" s="1" t="s">
        <v>52</v>
      </c>
      <c r="B56" s="1" t="s">
        <v>53</v>
      </c>
      <c r="C56" s="1" t="s">
        <v>459</v>
      </c>
      <c r="D56" s="1"/>
      <c r="E56" s="1"/>
      <c r="F56" s="1"/>
      <c r="G56" s="7">
        <f>COUNTIF(SheetTable02[Focal Document
Element],A56)</f>
        <v>4</v>
      </c>
      <c r="H56" s="7" t="str">
        <f>IF(A56=A55,"",_xlfn.TEXTJOIN(", ", TRUE, C56:INDEX(C:C, ROW(C56)+SheetTable02[[#This Row],[Column1]]-1)))</f>
        <v/>
      </c>
    </row>
    <row r="57" spans="1:8" ht="43.2">
      <c r="A57" s="1" t="s">
        <v>52</v>
      </c>
      <c r="B57" s="1" t="s">
        <v>53</v>
      </c>
      <c r="C57" s="1" t="s">
        <v>458</v>
      </c>
      <c r="D57" s="1"/>
      <c r="E57" s="1"/>
      <c r="F57" s="1"/>
      <c r="G57" s="7">
        <f>COUNTIF(SheetTable02[Focal Document
Element],A57)</f>
        <v>4</v>
      </c>
      <c r="H57" s="7" t="str">
        <f>IF(A57=A56,"",_xlfn.TEXTJOIN(", ", TRUE, C57:INDEX(C:C, ROW(C57)+SheetTable02[[#This Row],[Column1]]-1)))</f>
        <v/>
      </c>
    </row>
    <row r="58" spans="1:8" ht="43.2">
      <c r="A58" s="1" t="s">
        <v>52</v>
      </c>
      <c r="B58" s="1" t="s">
        <v>53</v>
      </c>
      <c r="C58" s="1" t="s">
        <v>601</v>
      </c>
      <c r="D58" s="1"/>
      <c r="E58" s="1"/>
      <c r="F58" s="1"/>
      <c r="G58" s="7">
        <f>COUNTIF(SheetTable02[Focal Document
Element],A58)</f>
        <v>4</v>
      </c>
      <c r="H58" s="7" t="str">
        <f>IF(A58=A57,"",_xlfn.TEXTJOIN(", ", TRUE, C58:INDEX(C:C, ROW(C58)+SheetTable02[[#This Row],[Column1]]-1)))</f>
        <v/>
      </c>
    </row>
    <row r="59" spans="1:8" ht="57.6">
      <c r="A59" s="1" t="s">
        <v>55</v>
      </c>
      <c r="B59" s="1" t="s">
        <v>57</v>
      </c>
      <c r="C59" s="1" t="s">
        <v>636</v>
      </c>
      <c r="D59" s="1"/>
      <c r="E59" s="1"/>
      <c r="F59" s="1"/>
      <c r="G59" s="7">
        <f>COUNTIF(SheetTable02[Focal Document
Element],A59)</f>
        <v>2</v>
      </c>
      <c r="H59" s="7" t="str">
        <f>IF(A59=A58,"",_xlfn.TEXTJOIN(", ", TRUE, C59:INDEX(C:C, ROW(C59)+SheetTable02[[#This Row],[Column1]]-1)))</f>
        <v>PM-09
, PM-30</v>
      </c>
    </row>
    <row r="60" spans="1:8" ht="57.6">
      <c r="A60" s="1" t="s">
        <v>55</v>
      </c>
      <c r="B60" s="1" t="s">
        <v>57</v>
      </c>
      <c r="C60" s="1" t="s">
        <v>458</v>
      </c>
      <c r="D60" s="1"/>
      <c r="E60" s="1"/>
      <c r="F60" s="1"/>
      <c r="G60" s="7">
        <f>COUNTIF(SheetTable02[Focal Document
Element],A60)</f>
        <v>2</v>
      </c>
      <c r="H60" s="7" t="str">
        <f>IF(A60=A59,"",_xlfn.TEXTJOIN(", ", TRUE, C60:INDEX(C:C, ROW(C60)+SheetTable02[[#This Row],[Column1]]-1)))</f>
        <v/>
      </c>
    </row>
    <row r="61" spans="1:8" ht="57.6">
      <c r="A61" s="1" t="s">
        <v>59</v>
      </c>
      <c r="B61" s="1" t="s">
        <v>60</v>
      </c>
      <c r="C61" s="1" t="s">
        <v>636</v>
      </c>
      <c r="D61" s="1"/>
      <c r="E61" s="1"/>
      <c r="F61" s="1"/>
      <c r="G61" s="7">
        <f>COUNTIF(SheetTable02[Focal Document
Element],A61)</f>
        <v>5</v>
      </c>
      <c r="H61" s="7" t="str">
        <f>IF(A61=A60,"",_xlfn.TEXTJOIN(", ", TRUE, C61:INDEX(C:C, ROW(C61)+SheetTable02[[#This Row],[Column1]]-1)))</f>
        <v>PM-09
, PM-18, PM-28, PM-30, RA-03</v>
      </c>
    </row>
    <row r="62" spans="1:8" ht="57.6">
      <c r="A62" s="1" t="s">
        <v>59</v>
      </c>
      <c r="B62" s="1" t="s">
        <v>60</v>
      </c>
      <c r="C62" s="1" t="s">
        <v>460</v>
      </c>
      <c r="D62" s="1"/>
      <c r="E62" s="1"/>
      <c r="F62" s="1"/>
      <c r="G62" s="7">
        <f>COUNTIF(SheetTable02[Focal Document
Element],A62)</f>
        <v>5</v>
      </c>
      <c r="H62" s="7" t="str">
        <f>IF(A62=A61,"",_xlfn.TEXTJOIN(", ", TRUE, C62:INDEX(C:C, ROW(C62)+SheetTable02[[#This Row],[Column1]]-1)))</f>
        <v/>
      </c>
    </row>
    <row r="63" spans="1:8" ht="57.6">
      <c r="A63" s="1" t="s">
        <v>59</v>
      </c>
      <c r="B63" s="1" t="s">
        <v>60</v>
      </c>
      <c r="C63" s="1" t="s">
        <v>459</v>
      </c>
      <c r="D63" s="1"/>
      <c r="E63" s="1"/>
      <c r="F63" s="1"/>
      <c r="G63" s="7">
        <f>COUNTIF(SheetTable02[Focal Document
Element],A63)</f>
        <v>5</v>
      </c>
      <c r="H63" s="7" t="str">
        <f>IF(A63=A62,"",_xlfn.TEXTJOIN(", ", TRUE, C63:INDEX(C:C, ROW(C63)+SheetTable02[[#This Row],[Column1]]-1)))</f>
        <v/>
      </c>
    </row>
    <row r="64" spans="1:8" ht="57.6">
      <c r="A64" s="1" t="s">
        <v>59</v>
      </c>
      <c r="B64" s="1" t="s">
        <v>60</v>
      </c>
      <c r="C64" s="1" t="s">
        <v>458</v>
      </c>
      <c r="D64" s="1"/>
      <c r="E64" s="1"/>
      <c r="F64" s="1"/>
      <c r="G64" s="7">
        <f>COUNTIF(SheetTable02[Focal Document
Element],A64)</f>
        <v>5</v>
      </c>
      <c r="H64" s="7" t="str">
        <f>IF(A64=A63,"",_xlfn.TEXTJOIN(", ", TRUE, C64:INDEX(C:C, ROW(C64)+SheetTable02[[#This Row],[Column1]]-1)))</f>
        <v/>
      </c>
    </row>
    <row r="65" spans="1:8" ht="57.6">
      <c r="A65" s="1" t="s">
        <v>59</v>
      </c>
      <c r="B65" s="1" t="s">
        <v>60</v>
      </c>
      <c r="C65" s="1" t="s">
        <v>442</v>
      </c>
      <c r="D65" s="1"/>
      <c r="E65" s="1"/>
      <c r="F65" s="1"/>
      <c r="G65" s="7">
        <f>COUNTIF(SheetTable02[Focal Document
Element],A65)</f>
        <v>5</v>
      </c>
      <c r="H65" s="7" t="str">
        <f>IF(A65=A64,"",_xlfn.TEXTJOIN(", ", TRUE, C65:INDEX(C:C, ROW(C65)+SheetTable02[[#This Row],[Column1]]-1)))</f>
        <v/>
      </c>
    </row>
    <row r="66" spans="1:8" ht="57.6">
      <c r="A66" s="1" t="s">
        <v>62</v>
      </c>
      <c r="B66" s="1" t="s">
        <v>63</v>
      </c>
      <c r="C66" s="1" t="s">
        <v>636</v>
      </c>
      <c r="D66" s="1"/>
      <c r="E66" s="1"/>
      <c r="F66" s="1"/>
      <c r="G66" s="7">
        <f>COUNTIF(SheetTable02[Focal Document
Element],A66)</f>
        <v>5</v>
      </c>
      <c r="H66" s="7" t="str">
        <f>IF(A66=A65,"",_xlfn.TEXTJOIN(", ", TRUE, C66:INDEX(C:C, ROW(C66)+SheetTable02[[#This Row],[Column1]]-1)))</f>
        <v>PM-09
, PM-18, PM-28, PM-30, RA-03</v>
      </c>
    </row>
    <row r="67" spans="1:8" ht="57.6">
      <c r="A67" s="1" t="s">
        <v>62</v>
      </c>
      <c r="B67" s="1" t="s">
        <v>63</v>
      </c>
      <c r="C67" s="1" t="s">
        <v>460</v>
      </c>
      <c r="D67" s="1"/>
      <c r="E67" s="1"/>
      <c r="F67" s="1"/>
      <c r="G67" s="7">
        <f>COUNTIF(SheetTable02[Focal Document
Element],A67)</f>
        <v>5</v>
      </c>
      <c r="H67" s="7" t="str">
        <f>IF(A67=A66,"",_xlfn.TEXTJOIN(", ", TRUE, C67:INDEX(C:C, ROW(C67)+SheetTable02[[#This Row],[Column1]]-1)))</f>
        <v/>
      </c>
    </row>
    <row r="68" spans="1:8" ht="57.6">
      <c r="A68" s="1" t="s">
        <v>62</v>
      </c>
      <c r="B68" s="1" t="s">
        <v>63</v>
      </c>
      <c r="C68" s="1" t="s">
        <v>459</v>
      </c>
      <c r="D68" s="1"/>
      <c r="E68" s="1"/>
      <c r="F68" s="1"/>
      <c r="G68" s="7">
        <f>COUNTIF(SheetTable02[Focal Document
Element],A68)</f>
        <v>5</v>
      </c>
      <c r="H68" s="7" t="str">
        <f>IF(A68=A67,"",_xlfn.TEXTJOIN(", ", TRUE, C68:INDEX(C:C, ROW(C68)+SheetTable02[[#This Row],[Column1]]-1)))</f>
        <v/>
      </c>
    </row>
    <row r="69" spans="1:8" ht="57.6">
      <c r="A69" s="1" t="s">
        <v>62</v>
      </c>
      <c r="B69" s="1" t="s">
        <v>63</v>
      </c>
      <c r="C69" s="1" t="s">
        <v>458</v>
      </c>
      <c r="D69" s="1"/>
      <c r="E69" s="1"/>
      <c r="F69" s="1"/>
      <c r="G69" s="7">
        <f>COUNTIF(SheetTable02[Focal Document
Element],A69)</f>
        <v>5</v>
      </c>
      <c r="H69" s="7" t="str">
        <f>IF(A69=A68,"",_xlfn.TEXTJOIN(", ", TRUE, C69:INDEX(C:C, ROW(C69)+SheetTable02[[#This Row],[Column1]]-1)))</f>
        <v/>
      </c>
    </row>
    <row r="70" spans="1:8" ht="57.6">
      <c r="A70" s="1" t="s">
        <v>62</v>
      </c>
      <c r="B70" s="1" t="s">
        <v>63</v>
      </c>
      <c r="C70" s="1" t="s">
        <v>442</v>
      </c>
      <c r="D70" s="1"/>
      <c r="E70" s="1"/>
      <c r="F70" s="1"/>
      <c r="G70" s="7">
        <f>COUNTIF(SheetTable02[Focal Document
Element],A70)</f>
        <v>5</v>
      </c>
      <c r="H70" s="7" t="str">
        <f>IF(A70=A69,"",_xlfn.TEXTJOIN(", ", TRUE, C70:INDEX(C:C, ROW(C70)+SheetTable02[[#This Row],[Column1]]-1)))</f>
        <v/>
      </c>
    </row>
    <row r="71" spans="1:8" ht="72">
      <c r="A71" s="1" t="s">
        <v>691</v>
      </c>
      <c r="B71" s="1" t="s">
        <v>690</v>
      </c>
      <c r="C71" s="1"/>
      <c r="D71" s="1"/>
      <c r="E71" s="1"/>
      <c r="F71" s="1"/>
      <c r="G71" s="7">
        <f>COUNTIF(SheetTable02[Focal Document
Element],A71)</f>
        <v>1</v>
      </c>
      <c r="H71" s="7" t="str">
        <f>IF(A71=A70,"",_xlfn.TEXTJOIN(", ", TRUE, C71:INDEX(C:C, ROW(C71)+SheetTable02[[#This Row],[Column1]]-1)))</f>
        <v/>
      </c>
    </row>
    <row r="72" spans="1:8" ht="57.6">
      <c r="A72" s="1" t="s">
        <v>65</v>
      </c>
      <c r="B72" s="1" t="s">
        <v>66</v>
      </c>
      <c r="C72" s="1" t="s">
        <v>689</v>
      </c>
      <c r="D72" s="1"/>
      <c r="E72" s="1"/>
      <c r="F72" s="1"/>
      <c r="G72" s="7">
        <f>COUNTIF(SheetTable02[Focal Document
Element],A72)</f>
        <v>5</v>
      </c>
      <c r="H72" s="7" t="str">
        <f>IF(A72=A71,"",_xlfn.TEXTJOIN(", ", TRUE, C72:INDEX(C:C, ROW(C72)+SheetTable02[[#This Row],[Column1]]-1)))</f>
        <v>PM-02
, PM-19, PM-23, PM-24, PM-29</v>
      </c>
    </row>
    <row r="73" spans="1:8" ht="57.6">
      <c r="A73" s="1" t="s">
        <v>65</v>
      </c>
      <c r="B73" s="1" t="s">
        <v>66</v>
      </c>
      <c r="C73" s="1" t="s">
        <v>672</v>
      </c>
      <c r="D73" s="1"/>
      <c r="E73" s="1"/>
      <c r="F73" s="1"/>
      <c r="G73" s="7">
        <f>COUNTIF(SheetTable02[Focal Document
Element],A73)</f>
        <v>5</v>
      </c>
      <c r="H73" s="7" t="str">
        <f>IF(A73=A72,"",_xlfn.TEXTJOIN(", ", TRUE, C73:INDEX(C:C, ROW(C73)+SheetTable02[[#This Row],[Column1]]-1)))</f>
        <v/>
      </c>
    </row>
    <row r="74" spans="1:8" ht="57.6">
      <c r="A74" s="1" t="s">
        <v>65</v>
      </c>
      <c r="B74" s="1" t="s">
        <v>66</v>
      </c>
      <c r="C74" s="1" t="s">
        <v>652</v>
      </c>
      <c r="D74" s="1"/>
      <c r="E74" s="1"/>
      <c r="F74" s="1"/>
      <c r="G74" s="7">
        <f>COUNTIF(SheetTable02[Focal Document
Element],A74)</f>
        <v>5</v>
      </c>
      <c r="H74" s="7" t="str">
        <f>IF(A74=A73,"",_xlfn.TEXTJOIN(", ", TRUE, C74:INDEX(C:C, ROW(C74)+SheetTable02[[#This Row],[Column1]]-1)))</f>
        <v/>
      </c>
    </row>
    <row r="75" spans="1:8" ht="57.6">
      <c r="A75" s="1" t="s">
        <v>65</v>
      </c>
      <c r="B75" s="1" t="s">
        <v>66</v>
      </c>
      <c r="C75" s="1" t="s">
        <v>687</v>
      </c>
      <c r="D75" s="1"/>
      <c r="E75" s="1"/>
      <c r="F75" s="1"/>
      <c r="G75" s="7">
        <f>COUNTIF(SheetTable02[Focal Document
Element],A75)</f>
        <v>5</v>
      </c>
      <c r="H75" s="7" t="str">
        <f>IF(A75=A74,"",_xlfn.TEXTJOIN(", ", TRUE, C75:INDEX(C:C, ROW(C75)+SheetTable02[[#This Row],[Column1]]-1)))</f>
        <v/>
      </c>
    </row>
    <row r="76" spans="1:8" ht="57.6">
      <c r="A76" s="1" t="s">
        <v>65</v>
      </c>
      <c r="B76" s="1" t="s">
        <v>66</v>
      </c>
      <c r="C76" s="1" t="s">
        <v>686</v>
      </c>
      <c r="D76" s="1"/>
      <c r="E76" s="1"/>
      <c r="F76" s="1"/>
      <c r="G76" s="7">
        <f>COUNTIF(SheetTable02[Focal Document
Element],A76)</f>
        <v>5</v>
      </c>
      <c r="H76" s="7" t="str">
        <f>IF(A76=A75,"",_xlfn.TEXTJOIN(", ", TRUE, C76:INDEX(C:C, ROW(C76)+SheetTable02[[#This Row],[Column1]]-1)))</f>
        <v/>
      </c>
    </row>
    <row r="77" spans="1:8" ht="72">
      <c r="A77" s="1" t="s">
        <v>68</v>
      </c>
      <c r="B77" s="1" t="s">
        <v>70</v>
      </c>
      <c r="C77" s="1" t="s">
        <v>689</v>
      </c>
      <c r="D77" s="1"/>
      <c r="E77" s="1"/>
      <c r="F77" s="1"/>
      <c r="G77" s="7">
        <f>COUNTIF(SheetTable02[Focal Document
Element],A77)</f>
        <v>6</v>
      </c>
      <c r="H77" s="7" t="str">
        <f>IF(A77=A76,"",_xlfn.TEXTJOIN(", ", TRUE, C77:INDEX(C:C, ROW(C77)+SheetTable02[[#This Row],[Column1]]-1)))</f>
        <v>PM-02
, PM-13, PM-19, PM-23, PM-24, PM-29</v>
      </c>
    </row>
    <row r="78" spans="1:8" ht="72">
      <c r="A78" s="1" t="s">
        <v>68</v>
      </c>
      <c r="B78" s="1" t="s">
        <v>70</v>
      </c>
      <c r="C78" s="1" t="s">
        <v>688</v>
      </c>
      <c r="D78" s="1"/>
      <c r="E78" s="1"/>
      <c r="F78" s="1"/>
      <c r="G78" s="7">
        <f>COUNTIF(SheetTable02[Focal Document
Element],A78)</f>
        <v>6</v>
      </c>
      <c r="H78" s="7" t="str">
        <f>IF(A78=A77,"",_xlfn.TEXTJOIN(", ", TRUE, C78:INDEX(C:C, ROW(C78)+SheetTable02[[#This Row],[Column1]]-1)))</f>
        <v/>
      </c>
    </row>
    <row r="79" spans="1:8" ht="72">
      <c r="A79" s="1" t="s">
        <v>68</v>
      </c>
      <c r="B79" s="1" t="s">
        <v>70</v>
      </c>
      <c r="C79" s="1" t="s">
        <v>672</v>
      </c>
      <c r="D79" s="1"/>
      <c r="E79" s="1"/>
      <c r="F79" s="1"/>
      <c r="G79" s="7">
        <f>COUNTIF(SheetTable02[Focal Document
Element],A79)</f>
        <v>6</v>
      </c>
      <c r="H79" s="7" t="str">
        <f>IF(A79=A78,"",_xlfn.TEXTJOIN(", ", TRUE, C79:INDEX(C:C, ROW(C79)+SheetTable02[[#This Row],[Column1]]-1)))</f>
        <v/>
      </c>
    </row>
    <row r="80" spans="1:8" ht="72">
      <c r="A80" s="1" t="s">
        <v>68</v>
      </c>
      <c r="B80" s="1" t="s">
        <v>70</v>
      </c>
      <c r="C80" s="1" t="s">
        <v>652</v>
      </c>
      <c r="D80" s="1"/>
      <c r="E80" s="1"/>
      <c r="F80" s="1"/>
      <c r="G80" s="7">
        <f>COUNTIF(SheetTable02[Focal Document
Element],A80)</f>
        <v>6</v>
      </c>
      <c r="H80" s="7" t="str">
        <f>IF(A80=A79,"",_xlfn.TEXTJOIN(", ", TRUE, C80:INDEX(C:C, ROW(C80)+SheetTable02[[#This Row],[Column1]]-1)))</f>
        <v/>
      </c>
    </row>
    <row r="81" spans="1:8" ht="72">
      <c r="A81" s="1" t="s">
        <v>68</v>
      </c>
      <c r="B81" s="1" t="s">
        <v>70</v>
      </c>
      <c r="C81" s="1" t="s">
        <v>687</v>
      </c>
      <c r="D81" s="1"/>
      <c r="E81" s="1"/>
      <c r="F81" s="1"/>
      <c r="G81" s="7">
        <f>COUNTIF(SheetTable02[Focal Document
Element],A81)</f>
        <v>6</v>
      </c>
      <c r="H81" s="7" t="str">
        <f>IF(A81=A80,"",_xlfn.TEXTJOIN(", ", TRUE, C81:INDEX(C:C, ROW(C81)+SheetTable02[[#This Row],[Column1]]-1)))</f>
        <v/>
      </c>
    </row>
    <row r="82" spans="1:8" ht="72">
      <c r="A82" s="1" t="s">
        <v>68</v>
      </c>
      <c r="B82" s="1" t="s">
        <v>70</v>
      </c>
      <c r="C82" s="1" t="s">
        <v>686</v>
      </c>
      <c r="D82" s="1"/>
      <c r="E82" s="1"/>
      <c r="F82" s="1"/>
      <c r="G82" s="7">
        <f>COUNTIF(SheetTable02[Focal Document
Element],A82)</f>
        <v>6</v>
      </c>
      <c r="H82" s="7" t="str">
        <f>IF(A82=A81,"",_xlfn.TEXTJOIN(", ", TRUE, C82:INDEX(C:C, ROW(C82)+SheetTable02[[#This Row],[Column1]]-1)))</f>
        <v/>
      </c>
    </row>
    <row r="83" spans="1:8" ht="57.6">
      <c r="A83" s="1" t="s">
        <v>72</v>
      </c>
      <c r="B83" s="1" t="s">
        <v>73</v>
      </c>
      <c r="C83" s="1" t="s">
        <v>490</v>
      </c>
      <c r="D83" s="1"/>
      <c r="E83" s="1"/>
      <c r="F83" s="1"/>
      <c r="G83" s="7">
        <f>COUNTIF(SheetTable02[Focal Document
Element],A83)</f>
        <v>1</v>
      </c>
      <c r="H83" s="7" t="str">
        <f>IF(A83=A82,"",_xlfn.TEXTJOIN(", ", TRUE, C83:INDEX(C:C, ROW(C83)+SheetTable02[[#This Row],[Column1]]-1)))</f>
        <v>PM-03</v>
      </c>
    </row>
    <row r="84" spans="1:8" ht="28.8">
      <c r="A84" s="1" t="s">
        <v>75</v>
      </c>
      <c r="B84" s="1" t="s">
        <v>77</v>
      </c>
      <c r="C84" s="1" t="s">
        <v>685</v>
      </c>
      <c r="D84" s="1"/>
      <c r="E84" s="1"/>
      <c r="F84" s="1"/>
      <c r="G84" s="7">
        <f>COUNTIF(SheetTable02[Focal Document
Element],A84)</f>
        <v>4</v>
      </c>
      <c r="H84" s="7" t="str">
        <f>IF(A84=A83,"",_xlfn.TEXTJOIN(", ", TRUE, C84:INDEX(C:C, ROW(C84)+SheetTable02[[#This Row],[Column1]]-1)))</f>
        <v>PM-13
, PS-01, PS-07, PS-09</v>
      </c>
    </row>
    <row r="85" spans="1:8" ht="28.8">
      <c r="A85" s="1" t="s">
        <v>75</v>
      </c>
      <c r="B85" s="1" t="s">
        <v>77</v>
      </c>
      <c r="C85" s="1" t="s">
        <v>617</v>
      </c>
      <c r="D85" s="1"/>
      <c r="E85" s="1"/>
      <c r="F85" s="1"/>
      <c r="G85" s="7">
        <f>COUNTIF(SheetTable02[Focal Document
Element],A85)</f>
        <v>4</v>
      </c>
      <c r="H85" s="7" t="str">
        <f>IF(A85=A84,"",_xlfn.TEXTJOIN(", ", TRUE, C85:INDEX(C:C, ROW(C85)+SheetTable02[[#This Row],[Column1]]-1)))</f>
        <v/>
      </c>
    </row>
    <row r="86" spans="1:8" ht="28.8">
      <c r="A86" s="1" t="s">
        <v>75</v>
      </c>
      <c r="B86" s="1" t="s">
        <v>77</v>
      </c>
      <c r="C86" s="1" t="s">
        <v>478</v>
      </c>
      <c r="D86" s="1"/>
      <c r="E86" s="1"/>
      <c r="F86" s="1"/>
      <c r="G86" s="7">
        <f>COUNTIF(SheetTable02[Focal Document
Element],A86)</f>
        <v>4</v>
      </c>
      <c r="H86" s="7" t="str">
        <f>IF(A86=A85,"",_xlfn.TEXTJOIN(", ", TRUE, C86:INDEX(C:C, ROW(C86)+SheetTable02[[#This Row],[Column1]]-1)))</f>
        <v/>
      </c>
    </row>
    <row r="87" spans="1:8" ht="28.8">
      <c r="A87" s="1" t="s">
        <v>75</v>
      </c>
      <c r="B87" s="1" t="s">
        <v>77</v>
      </c>
      <c r="C87" s="1" t="s">
        <v>684</v>
      </c>
      <c r="D87" s="1"/>
      <c r="E87" s="1"/>
      <c r="F87" s="1"/>
      <c r="G87" s="7">
        <f>COUNTIF(SheetTable02[Focal Document
Element],A87)</f>
        <v>4</v>
      </c>
      <c r="H87" s="7" t="str">
        <f>IF(A87=A86,"",_xlfn.TEXTJOIN(", ", TRUE, C87:INDEX(C:C, ROW(C87)+SheetTable02[[#This Row],[Column1]]-1)))</f>
        <v/>
      </c>
    </row>
    <row r="88" spans="1:8" ht="43.2">
      <c r="A88" s="1" t="s">
        <v>683</v>
      </c>
      <c r="B88" s="1" t="s">
        <v>682</v>
      </c>
      <c r="C88" s="1"/>
      <c r="D88" s="1"/>
      <c r="E88" s="1"/>
      <c r="F88" s="1"/>
      <c r="G88" s="7">
        <f>COUNTIF(SheetTable02[Focal Document
Element],A88)</f>
        <v>1</v>
      </c>
      <c r="H88" s="7" t="str">
        <f>IF(A88=A87,"",_xlfn.TEXTJOIN(", ", TRUE, C88:INDEX(C:C, ROW(C88)+SheetTable02[[#This Row],[Column1]]-1)))</f>
        <v/>
      </c>
    </row>
    <row r="89" spans="1:8" ht="72">
      <c r="A89" s="1" t="s">
        <v>79</v>
      </c>
      <c r="B89" s="1" t="s">
        <v>81</v>
      </c>
      <c r="C89" s="1" t="s">
        <v>596</v>
      </c>
      <c r="D89" s="1"/>
      <c r="E89" s="1"/>
      <c r="F89" s="1"/>
      <c r="G89" s="7">
        <f>COUNTIF(SheetTable02[Focal Document
Element],A89)</f>
        <v>20</v>
      </c>
      <c r="H89" s="7" t="str">
        <f>IF(A89=A88,"",_xlfn.TEXTJOIN(", ", TRUE, C89:INDEX(C:C, ROW(C89)+SheetTable02[[#This Row],[Column1]]-1)))</f>
        <v>AC-01
, AT-01, AU-01, CA-01, CM-01, CP-01, IA-01, IR-01, MA-01, MP-01, PE-01, PL-01, PM-01, PS-01, PT-01, RA-01, SA-01, SC-01, SI-01, SR-01</v>
      </c>
    </row>
    <row r="90" spans="1:8" ht="72">
      <c r="A90" s="1" t="s">
        <v>79</v>
      </c>
      <c r="B90" s="1" t="s">
        <v>81</v>
      </c>
      <c r="C90" s="1" t="s">
        <v>626</v>
      </c>
      <c r="D90" s="1"/>
      <c r="E90" s="1"/>
      <c r="F90" s="1"/>
      <c r="G90" s="7">
        <f>COUNTIF(SheetTable02[Focal Document
Element],A90)</f>
        <v>20</v>
      </c>
      <c r="H90" s="7" t="str">
        <f>IF(A90=A89,"",_xlfn.TEXTJOIN(", ", TRUE, C90:INDEX(C:C, ROW(C90)+SheetTable02[[#This Row],[Column1]]-1)))</f>
        <v/>
      </c>
    </row>
    <row r="91" spans="1:8" ht="72">
      <c r="A91" s="1" t="s">
        <v>79</v>
      </c>
      <c r="B91" s="1" t="s">
        <v>81</v>
      </c>
      <c r="C91" s="1" t="s">
        <v>625</v>
      </c>
      <c r="D91" s="1"/>
      <c r="E91" s="1"/>
      <c r="F91" s="1"/>
      <c r="G91" s="7">
        <f>COUNTIF(SheetTable02[Focal Document
Element],A91)</f>
        <v>20</v>
      </c>
      <c r="H91" s="7" t="str">
        <f>IF(A91=A90,"",_xlfn.TEXTJOIN(", ", TRUE, C91:INDEX(C:C, ROW(C91)+SheetTable02[[#This Row],[Column1]]-1)))</f>
        <v/>
      </c>
    </row>
    <row r="92" spans="1:8" ht="72">
      <c r="A92" s="1" t="s">
        <v>79</v>
      </c>
      <c r="B92" s="1" t="s">
        <v>81</v>
      </c>
      <c r="C92" s="1" t="s">
        <v>624</v>
      </c>
      <c r="D92" s="1"/>
      <c r="E92" s="1"/>
      <c r="F92" s="1"/>
      <c r="G92" s="7">
        <f>COUNTIF(SheetTable02[Focal Document
Element],A92)</f>
        <v>20</v>
      </c>
      <c r="H92" s="7" t="str">
        <f>IF(A92=A91,"",_xlfn.TEXTJOIN(", ", TRUE, C92:INDEX(C:C, ROW(C92)+SheetTable02[[#This Row],[Column1]]-1)))</f>
        <v/>
      </c>
    </row>
    <row r="93" spans="1:8" ht="72">
      <c r="A93" s="1" t="s">
        <v>79</v>
      </c>
      <c r="B93" s="1" t="s">
        <v>81</v>
      </c>
      <c r="C93" s="1" t="s">
        <v>541</v>
      </c>
      <c r="D93" s="1"/>
      <c r="E93" s="1"/>
      <c r="F93" s="1"/>
      <c r="G93" s="7">
        <f>COUNTIF(SheetTable02[Focal Document
Element],A93)</f>
        <v>20</v>
      </c>
      <c r="H93" s="7" t="str">
        <f>IF(A93=A92,"",_xlfn.TEXTJOIN(", ", TRUE, C93:INDEX(C:C, ROW(C93)+SheetTable02[[#This Row],[Column1]]-1)))</f>
        <v/>
      </c>
    </row>
    <row r="94" spans="1:8" ht="72">
      <c r="A94" s="1" t="s">
        <v>79</v>
      </c>
      <c r="B94" s="1" t="s">
        <v>81</v>
      </c>
      <c r="C94" s="1" t="s">
        <v>623</v>
      </c>
      <c r="D94" s="1"/>
      <c r="E94" s="1"/>
      <c r="F94" s="1"/>
      <c r="G94" s="7">
        <f>COUNTIF(SheetTable02[Focal Document
Element],A94)</f>
        <v>20</v>
      </c>
      <c r="H94" s="7" t="str">
        <f>IF(A94=A93,"",_xlfn.TEXTJOIN(", ", TRUE, C94:INDEX(C:C, ROW(C94)+SheetTable02[[#This Row],[Column1]]-1)))</f>
        <v/>
      </c>
    </row>
    <row r="95" spans="1:8" ht="72">
      <c r="A95" s="1" t="s">
        <v>79</v>
      </c>
      <c r="B95" s="1" t="s">
        <v>81</v>
      </c>
      <c r="C95" s="1" t="s">
        <v>594</v>
      </c>
      <c r="D95" s="1"/>
      <c r="E95" s="1"/>
      <c r="F95" s="1"/>
      <c r="G95" s="7">
        <f>COUNTIF(SheetTable02[Focal Document
Element],A95)</f>
        <v>20</v>
      </c>
      <c r="H95" s="7" t="str">
        <f>IF(A95=A94,"",_xlfn.TEXTJOIN(", ", TRUE, C95:INDEX(C:C, ROW(C95)+SheetTable02[[#This Row],[Column1]]-1)))</f>
        <v/>
      </c>
    </row>
    <row r="96" spans="1:8" ht="72">
      <c r="A96" s="1" t="s">
        <v>79</v>
      </c>
      <c r="B96" s="1" t="s">
        <v>81</v>
      </c>
      <c r="C96" s="1" t="s">
        <v>424</v>
      </c>
      <c r="D96" s="1"/>
      <c r="E96" s="1"/>
      <c r="F96" s="1"/>
      <c r="G96" s="7">
        <f>COUNTIF(SheetTable02[Focal Document
Element],A96)</f>
        <v>20</v>
      </c>
      <c r="H96" s="7" t="str">
        <f>IF(A96=A95,"",_xlfn.TEXTJOIN(", ", TRUE, C96:INDEX(C:C, ROW(C96)+SheetTable02[[#This Row],[Column1]]-1)))</f>
        <v/>
      </c>
    </row>
    <row r="97" spans="1:8" ht="72">
      <c r="A97" s="1" t="s">
        <v>79</v>
      </c>
      <c r="B97" s="1" t="s">
        <v>81</v>
      </c>
      <c r="C97" s="1" t="s">
        <v>622</v>
      </c>
      <c r="D97" s="1"/>
      <c r="E97" s="1"/>
      <c r="F97" s="1"/>
      <c r="G97" s="7">
        <f>COUNTIF(SheetTable02[Focal Document
Element],A97)</f>
        <v>20</v>
      </c>
      <c r="H97" s="7" t="str">
        <f>IF(A97=A96,"",_xlfn.TEXTJOIN(", ", TRUE, C97:INDEX(C:C, ROW(C97)+SheetTable02[[#This Row],[Column1]]-1)))</f>
        <v/>
      </c>
    </row>
    <row r="98" spans="1:8" ht="72">
      <c r="A98" s="1" t="s">
        <v>79</v>
      </c>
      <c r="B98" s="1" t="s">
        <v>81</v>
      </c>
      <c r="C98" s="1" t="s">
        <v>621</v>
      </c>
      <c r="D98" s="1"/>
      <c r="E98" s="1"/>
      <c r="F98" s="1"/>
      <c r="G98" s="7">
        <f>COUNTIF(SheetTable02[Focal Document
Element],A98)</f>
        <v>20</v>
      </c>
      <c r="H98" s="7" t="str">
        <f>IF(A98=A97,"",_xlfn.TEXTJOIN(", ", TRUE, C98:INDEX(C:C, ROW(C98)+SheetTable02[[#This Row],[Column1]]-1)))</f>
        <v/>
      </c>
    </row>
    <row r="99" spans="1:8" ht="72">
      <c r="A99" s="1" t="s">
        <v>79</v>
      </c>
      <c r="B99" s="1" t="s">
        <v>81</v>
      </c>
      <c r="C99" s="1" t="s">
        <v>620</v>
      </c>
      <c r="D99" s="1"/>
      <c r="E99" s="1"/>
      <c r="F99" s="1"/>
      <c r="G99" s="7">
        <f>COUNTIF(SheetTable02[Focal Document
Element],A99)</f>
        <v>20</v>
      </c>
      <c r="H99" s="7" t="str">
        <f>IF(A99=A98,"",_xlfn.TEXTJOIN(", ", TRUE, C99:INDEX(C:C, ROW(C99)+SheetTable02[[#This Row],[Column1]]-1)))</f>
        <v/>
      </c>
    </row>
    <row r="100" spans="1:8" ht="72">
      <c r="A100" s="1" t="s">
        <v>79</v>
      </c>
      <c r="B100" s="1" t="s">
        <v>81</v>
      </c>
      <c r="C100" s="1" t="s">
        <v>619</v>
      </c>
      <c r="D100" s="1"/>
      <c r="E100" s="1"/>
      <c r="F100" s="1"/>
      <c r="G100" s="7">
        <f>COUNTIF(SheetTable02[Focal Document
Element],A100)</f>
        <v>20</v>
      </c>
      <c r="H100" s="7" t="str">
        <f>IF(A100=A99,"",_xlfn.TEXTJOIN(", ", TRUE, C100:INDEX(C:C, ROW(C100)+SheetTable02[[#This Row],[Column1]]-1)))</f>
        <v/>
      </c>
    </row>
    <row r="101" spans="1:8" ht="72">
      <c r="A101" s="1" t="s">
        <v>79</v>
      </c>
      <c r="B101" s="1" t="s">
        <v>81</v>
      </c>
      <c r="C101" s="1" t="s">
        <v>618</v>
      </c>
      <c r="D101" s="1"/>
      <c r="E101" s="1"/>
      <c r="F101" s="1"/>
      <c r="G101" s="7">
        <f>COUNTIF(SheetTable02[Focal Document
Element],A101)</f>
        <v>20</v>
      </c>
      <c r="H101" s="7" t="str">
        <f>IF(A101=A100,"",_xlfn.TEXTJOIN(", ", TRUE, C101:INDEX(C:C, ROW(C101)+SheetTable02[[#This Row],[Column1]]-1)))</f>
        <v/>
      </c>
    </row>
    <row r="102" spans="1:8" ht="72">
      <c r="A102" s="1" t="s">
        <v>79</v>
      </c>
      <c r="B102" s="1" t="s">
        <v>81</v>
      </c>
      <c r="C102" s="1" t="s">
        <v>617</v>
      </c>
      <c r="D102" s="1"/>
      <c r="E102" s="1"/>
      <c r="F102" s="1"/>
      <c r="G102" s="7">
        <f>COUNTIF(SheetTable02[Focal Document
Element],A102)</f>
        <v>20</v>
      </c>
      <c r="H102" s="7" t="str">
        <f>IF(A102=A101,"",_xlfn.TEXTJOIN(", ", TRUE, C102:INDEX(C:C, ROW(C102)+SheetTable02[[#This Row],[Column1]]-1)))</f>
        <v/>
      </c>
    </row>
    <row r="103" spans="1:8" ht="72">
      <c r="A103" s="1" t="s">
        <v>79</v>
      </c>
      <c r="B103" s="1" t="s">
        <v>81</v>
      </c>
      <c r="C103" s="1" t="s">
        <v>616</v>
      </c>
      <c r="D103" s="1"/>
      <c r="E103" s="1"/>
      <c r="F103" s="1"/>
      <c r="G103" s="7">
        <f>COUNTIF(SheetTable02[Focal Document
Element],A103)</f>
        <v>20</v>
      </c>
      <c r="H103" s="7" t="str">
        <f>IF(A103=A102,"",_xlfn.TEXTJOIN(", ", TRUE, C103:INDEX(C:C, ROW(C103)+SheetTable02[[#This Row],[Column1]]-1)))</f>
        <v/>
      </c>
    </row>
    <row r="104" spans="1:8" ht="72">
      <c r="A104" s="1" t="s">
        <v>79</v>
      </c>
      <c r="B104" s="1" t="s">
        <v>81</v>
      </c>
      <c r="C104" s="1" t="s">
        <v>615</v>
      </c>
      <c r="D104" s="1"/>
      <c r="E104" s="1"/>
      <c r="F104" s="1"/>
      <c r="G104" s="7">
        <f>COUNTIF(SheetTable02[Focal Document
Element],A104)</f>
        <v>20</v>
      </c>
      <c r="H104" s="7" t="str">
        <f>IF(A104=A103,"",_xlfn.TEXTJOIN(", ", TRUE, C104:INDEX(C:C, ROW(C104)+SheetTable02[[#This Row],[Column1]]-1)))</f>
        <v/>
      </c>
    </row>
    <row r="105" spans="1:8" ht="72">
      <c r="A105" s="1" t="s">
        <v>79</v>
      </c>
      <c r="B105" s="1" t="s">
        <v>81</v>
      </c>
      <c r="C105" s="1" t="s">
        <v>614</v>
      </c>
      <c r="D105" s="1"/>
      <c r="E105" s="1"/>
      <c r="F105" s="1"/>
      <c r="G105" s="7">
        <f>COUNTIF(SheetTable02[Focal Document
Element],A105)</f>
        <v>20</v>
      </c>
      <c r="H105" s="7" t="str">
        <f>IF(A105=A104,"",_xlfn.TEXTJOIN(", ", TRUE, C105:INDEX(C:C, ROW(C105)+SheetTable02[[#This Row],[Column1]]-1)))</f>
        <v/>
      </c>
    </row>
    <row r="106" spans="1:8" ht="72">
      <c r="A106" s="1" t="s">
        <v>79</v>
      </c>
      <c r="B106" s="1" t="s">
        <v>81</v>
      </c>
      <c r="C106" s="1" t="s">
        <v>613</v>
      </c>
      <c r="D106" s="1"/>
      <c r="E106" s="1"/>
      <c r="F106" s="1"/>
      <c r="G106" s="7">
        <f>COUNTIF(SheetTable02[Focal Document
Element],A106)</f>
        <v>20</v>
      </c>
      <c r="H106" s="7" t="str">
        <f>IF(A106=A105,"",_xlfn.TEXTJOIN(", ", TRUE, C106:INDEX(C:C, ROW(C106)+SheetTable02[[#This Row],[Column1]]-1)))</f>
        <v/>
      </c>
    </row>
    <row r="107" spans="1:8" ht="72">
      <c r="A107" s="1" t="s">
        <v>79</v>
      </c>
      <c r="B107" s="1" t="s">
        <v>81</v>
      </c>
      <c r="C107" s="1" t="s">
        <v>612</v>
      </c>
      <c r="D107" s="1"/>
      <c r="E107" s="1"/>
      <c r="F107" s="1"/>
      <c r="G107" s="7">
        <f>COUNTIF(SheetTable02[Focal Document
Element],A107)</f>
        <v>20</v>
      </c>
      <c r="H107" s="7" t="str">
        <f>IF(A107=A106,"",_xlfn.TEXTJOIN(", ", TRUE, C107:INDEX(C:C, ROW(C107)+SheetTable02[[#This Row],[Column1]]-1)))</f>
        <v/>
      </c>
    </row>
    <row r="108" spans="1:8" ht="72">
      <c r="A108" s="1" t="s">
        <v>79</v>
      </c>
      <c r="B108" s="1" t="s">
        <v>81</v>
      </c>
      <c r="C108" s="1" t="s">
        <v>611</v>
      </c>
      <c r="D108" s="1"/>
      <c r="E108" s="1"/>
      <c r="F108" s="1"/>
      <c r="G108" s="7">
        <f>COUNTIF(SheetTable02[Focal Document
Element],A108)</f>
        <v>20</v>
      </c>
      <c r="H108" s="7" t="str">
        <f>IF(A108=A107,"",_xlfn.TEXTJOIN(", ", TRUE, C108:INDEX(C:C, ROW(C108)+SheetTable02[[#This Row],[Column1]]-1)))</f>
        <v/>
      </c>
    </row>
    <row r="109" spans="1:8" ht="72">
      <c r="A109" s="1" t="s">
        <v>83</v>
      </c>
      <c r="B109" s="1" t="s">
        <v>84</v>
      </c>
      <c r="C109" s="1" t="s">
        <v>596</v>
      </c>
      <c r="D109" s="1"/>
      <c r="E109" s="1"/>
      <c r="F109" s="1"/>
      <c r="G109" s="7">
        <f>COUNTIF(SheetTable02[Focal Document
Element],A109)</f>
        <v>20</v>
      </c>
      <c r="H109" s="7" t="str">
        <f>IF(A109=A108,"",_xlfn.TEXTJOIN(", ", TRUE, C109:INDEX(C:C, ROW(C109)+SheetTable02[[#This Row],[Column1]]-1)))</f>
        <v>AC-01
, AT-01, AU-01, CA-01, CM-01, CP-01, IA-01, IR-01, MA-01, MP-01, PE-01, PL-01, PM-01, PS-01, PT-01, RA-01, SA-01, SC-01, SI-01, SR-01</v>
      </c>
    </row>
    <row r="110" spans="1:8" ht="72">
      <c r="A110" s="1" t="s">
        <v>83</v>
      </c>
      <c r="B110" s="1" t="s">
        <v>84</v>
      </c>
      <c r="C110" s="1" t="s">
        <v>626</v>
      </c>
      <c r="D110" s="1"/>
      <c r="E110" s="1"/>
      <c r="F110" s="1"/>
      <c r="G110" s="7">
        <f>COUNTIF(SheetTable02[Focal Document
Element],A110)</f>
        <v>20</v>
      </c>
      <c r="H110" s="7" t="str">
        <f>IF(A110=A109,"",_xlfn.TEXTJOIN(", ", TRUE, C110:INDEX(C:C, ROW(C110)+SheetTable02[[#This Row],[Column1]]-1)))</f>
        <v/>
      </c>
    </row>
    <row r="111" spans="1:8" ht="72">
      <c r="A111" s="1" t="s">
        <v>83</v>
      </c>
      <c r="B111" s="1" t="s">
        <v>84</v>
      </c>
      <c r="C111" s="1" t="s">
        <v>625</v>
      </c>
      <c r="D111" s="1"/>
      <c r="E111" s="1"/>
      <c r="F111" s="1"/>
      <c r="G111" s="7">
        <f>COUNTIF(SheetTable02[Focal Document
Element],A111)</f>
        <v>20</v>
      </c>
      <c r="H111" s="7" t="str">
        <f>IF(A111=A110,"",_xlfn.TEXTJOIN(", ", TRUE, C111:INDEX(C:C, ROW(C111)+SheetTable02[[#This Row],[Column1]]-1)))</f>
        <v/>
      </c>
    </row>
    <row r="112" spans="1:8" ht="72">
      <c r="A112" s="1" t="s">
        <v>83</v>
      </c>
      <c r="B112" s="1" t="s">
        <v>84</v>
      </c>
      <c r="C112" s="1" t="s">
        <v>624</v>
      </c>
      <c r="D112" s="1"/>
      <c r="E112" s="1"/>
      <c r="F112" s="1"/>
      <c r="G112" s="7">
        <f>COUNTIF(SheetTable02[Focal Document
Element],A112)</f>
        <v>20</v>
      </c>
      <c r="H112" s="7" t="str">
        <f>IF(A112=A111,"",_xlfn.TEXTJOIN(", ", TRUE, C112:INDEX(C:C, ROW(C112)+SheetTable02[[#This Row],[Column1]]-1)))</f>
        <v/>
      </c>
    </row>
    <row r="113" spans="1:8" ht="72">
      <c r="A113" s="1" t="s">
        <v>83</v>
      </c>
      <c r="B113" s="1" t="s">
        <v>84</v>
      </c>
      <c r="C113" s="1" t="s">
        <v>541</v>
      </c>
      <c r="D113" s="1"/>
      <c r="E113" s="1"/>
      <c r="F113" s="1"/>
      <c r="G113" s="7">
        <f>COUNTIF(SheetTable02[Focal Document
Element],A113)</f>
        <v>20</v>
      </c>
      <c r="H113" s="7" t="str">
        <f>IF(A113=A112,"",_xlfn.TEXTJOIN(", ", TRUE, C113:INDEX(C:C, ROW(C113)+SheetTable02[[#This Row],[Column1]]-1)))</f>
        <v/>
      </c>
    </row>
    <row r="114" spans="1:8" ht="72">
      <c r="A114" s="1" t="s">
        <v>83</v>
      </c>
      <c r="B114" s="1" t="s">
        <v>84</v>
      </c>
      <c r="C114" s="1" t="s">
        <v>623</v>
      </c>
      <c r="D114" s="1"/>
      <c r="E114" s="1"/>
      <c r="F114" s="1"/>
      <c r="G114" s="7">
        <f>COUNTIF(SheetTable02[Focal Document
Element],A114)</f>
        <v>20</v>
      </c>
      <c r="H114" s="7" t="str">
        <f>IF(A114=A113,"",_xlfn.TEXTJOIN(", ", TRUE, C114:INDEX(C:C, ROW(C114)+SheetTable02[[#This Row],[Column1]]-1)))</f>
        <v/>
      </c>
    </row>
    <row r="115" spans="1:8" ht="72">
      <c r="A115" s="1" t="s">
        <v>83</v>
      </c>
      <c r="B115" s="1" t="s">
        <v>84</v>
      </c>
      <c r="C115" s="1" t="s">
        <v>594</v>
      </c>
      <c r="D115" s="1"/>
      <c r="E115" s="1"/>
      <c r="F115" s="1"/>
      <c r="G115" s="7">
        <f>COUNTIF(SheetTable02[Focal Document
Element],A115)</f>
        <v>20</v>
      </c>
      <c r="H115" s="7" t="str">
        <f>IF(A115=A114,"",_xlfn.TEXTJOIN(", ", TRUE, C115:INDEX(C:C, ROW(C115)+SheetTable02[[#This Row],[Column1]]-1)))</f>
        <v/>
      </c>
    </row>
    <row r="116" spans="1:8" ht="72">
      <c r="A116" s="1" t="s">
        <v>83</v>
      </c>
      <c r="B116" s="1" t="s">
        <v>84</v>
      </c>
      <c r="C116" s="1" t="s">
        <v>424</v>
      </c>
      <c r="D116" s="1"/>
      <c r="E116" s="1"/>
      <c r="F116" s="1"/>
      <c r="G116" s="7">
        <f>COUNTIF(SheetTable02[Focal Document
Element],A116)</f>
        <v>20</v>
      </c>
      <c r="H116" s="7" t="str">
        <f>IF(A116=A115,"",_xlfn.TEXTJOIN(", ", TRUE, C116:INDEX(C:C, ROW(C116)+SheetTable02[[#This Row],[Column1]]-1)))</f>
        <v/>
      </c>
    </row>
    <row r="117" spans="1:8" ht="72">
      <c r="A117" s="1" t="s">
        <v>83</v>
      </c>
      <c r="B117" s="1" t="s">
        <v>84</v>
      </c>
      <c r="C117" s="1" t="s">
        <v>622</v>
      </c>
      <c r="D117" s="1"/>
      <c r="E117" s="1"/>
      <c r="F117" s="1"/>
      <c r="G117" s="7">
        <f>COUNTIF(SheetTable02[Focal Document
Element],A117)</f>
        <v>20</v>
      </c>
      <c r="H117" s="7" t="str">
        <f>IF(A117=A116,"",_xlfn.TEXTJOIN(", ", TRUE, C117:INDEX(C:C, ROW(C117)+SheetTable02[[#This Row],[Column1]]-1)))</f>
        <v/>
      </c>
    </row>
    <row r="118" spans="1:8" ht="72">
      <c r="A118" s="1" t="s">
        <v>83</v>
      </c>
      <c r="B118" s="1" t="s">
        <v>84</v>
      </c>
      <c r="C118" s="1" t="s">
        <v>621</v>
      </c>
      <c r="D118" s="1"/>
      <c r="E118" s="1"/>
      <c r="F118" s="1"/>
      <c r="G118" s="7">
        <f>COUNTIF(SheetTable02[Focal Document
Element],A118)</f>
        <v>20</v>
      </c>
      <c r="H118" s="7" t="str">
        <f>IF(A118=A117,"",_xlfn.TEXTJOIN(", ", TRUE, C118:INDEX(C:C, ROW(C118)+SheetTable02[[#This Row],[Column1]]-1)))</f>
        <v/>
      </c>
    </row>
    <row r="119" spans="1:8" ht="72">
      <c r="A119" s="1" t="s">
        <v>83</v>
      </c>
      <c r="B119" s="1" t="s">
        <v>84</v>
      </c>
      <c r="C119" s="1" t="s">
        <v>620</v>
      </c>
      <c r="D119" s="1"/>
      <c r="E119" s="1"/>
      <c r="F119" s="1"/>
      <c r="G119" s="7">
        <f>COUNTIF(SheetTable02[Focal Document
Element],A119)</f>
        <v>20</v>
      </c>
      <c r="H119" s="7" t="str">
        <f>IF(A119=A118,"",_xlfn.TEXTJOIN(", ", TRUE, C119:INDEX(C:C, ROW(C119)+SheetTable02[[#This Row],[Column1]]-1)))</f>
        <v/>
      </c>
    </row>
    <row r="120" spans="1:8" ht="72">
      <c r="A120" s="1" t="s">
        <v>83</v>
      </c>
      <c r="B120" s="1" t="s">
        <v>84</v>
      </c>
      <c r="C120" s="1" t="s">
        <v>619</v>
      </c>
      <c r="D120" s="1"/>
      <c r="E120" s="1"/>
      <c r="F120" s="1"/>
      <c r="G120" s="7">
        <f>COUNTIF(SheetTable02[Focal Document
Element],A120)</f>
        <v>20</v>
      </c>
      <c r="H120" s="7" t="str">
        <f>IF(A120=A119,"",_xlfn.TEXTJOIN(", ", TRUE, C120:INDEX(C:C, ROW(C120)+SheetTable02[[#This Row],[Column1]]-1)))</f>
        <v/>
      </c>
    </row>
    <row r="121" spans="1:8" ht="72">
      <c r="A121" s="1" t="s">
        <v>83</v>
      </c>
      <c r="B121" s="1" t="s">
        <v>84</v>
      </c>
      <c r="C121" s="1" t="s">
        <v>618</v>
      </c>
      <c r="D121" s="1"/>
      <c r="E121" s="1"/>
      <c r="F121" s="1"/>
      <c r="G121" s="7">
        <f>COUNTIF(SheetTable02[Focal Document
Element],A121)</f>
        <v>20</v>
      </c>
      <c r="H121" s="7" t="str">
        <f>IF(A121=A120,"",_xlfn.TEXTJOIN(", ", TRUE, C121:INDEX(C:C, ROW(C121)+SheetTable02[[#This Row],[Column1]]-1)))</f>
        <v/>
      </c>
    </row>
    <row r="122" spans="1:8" ht="72">
      <c r="A122" s="1" t="s">
        <v>83</v>
      </c>
      <c r="B122" s="1" t="s">
        <v>84</v>
      </c>
      <c r="C122" s="1" t="s">
        <v>617</v>
      </c>
      <c r="D122" s="1"/>
      <c r="E122" s="1"/>
      <c r="F122" s="1"/>
      <c r="G122" s="7">
        <f>COUNTIF(SheetTable02[Focal Document
Element],A122)</f>
        <v>20</v>
      </c>
      <c r="H122" s="7" t="str">
        <f>IF(A122=A121,"",_xlfn.TEXTJOIN(", ", TRUE, C122:INDEX(C:C, ROW(C122)+SheetTable02[[#This Row],[Column1]]-1)))</f>
        <v/>
      </c>
    </row>
    <row r="123" spans="1:8" ht="72">
      <c r="A123" s="1" t="s">
        <v>83</v>
      </c>
      <c r="B123" s="1" t="s">
        <v>84</v>
      </c>
      <c r="C123" s="1" t="s">
        <v>616</v>
      </c>
      <c r="D123" s="1"/>
      <c r="E123" s="1"/>
      <c r="F123" s="1"/>
      <c r="G123" s="7">
        <f>COUNTIF(SheetTable02[Focal Document
Element],A123)</f>
        <v>20</v>
      </c>
      <c r="H123" s="7" t="str">
        <f>IF(A123=A122,"",_xlfn.TEXTJOIN(", ", TRUE, C123:INDEX(C:C, ROW(C123)+SheetTable02[[#This Row],[Column1]]-1)))</f>
        <v/>
      </c>
    </row>
    <row r="124" spans="1:8" ht="72">
      <c r="A124" s="1" t="s">
        <v>83</v>
      </c>
      <c r="B124" s="1" t="s">
        <v>84</v>
      </c>
      <c r="C124" s="1" t="s">
        <v>615</v>
      </c>
      <c r="D124" s="1"/>
      <c r="E124" s="1"/>
      <c r="F124" s="1"/>
      <c r="G124" s="7">
        <f>COUNTIF(SheetTable02[Focal Document
Element],A124)</f>
        <v>20</v>
      </c>
      <c r="H124" s="7" t="str">
        <f>IF(A124=A123,"",_xlfn.TEXTJOIN(", ", TRUE, C124:INDEX(C:C, ROW(C124)+SheetTable02[[#This Row],[Column1]]-1)))</f>
        <v/>
      </c>
    </row>
    <row r="125" spans="1:8" ht="72">
      <c r="A125" s="1" t="s">
        <v>83</v>
      </c>
      <c r="B125" s="1" t="s">
        <v>84</v>
      </c>
      <c r="C125" s="1" t="s">
        <v>614</v>
      </c>
      <c r="D125" s="1"/>
      <c r="E125" s="1"/>
      <c r="F125" s="1"/>
      <c r="G125" s="7">
        <f>COUNTIF(SheetTable02[Focal Document
Element],A125)</f>
        <v>20</v>
      </c>
      <c r="H125" s="7" t="str">
        <f>IF(A125=A124,"",_xlfn.TEXTJOIN(", ", TRUE, C125:INDEX(C:C, ROW(C125)+SheetTable02[[#This Row],[Column1]]-1)))</f>
        <v/>
      </c>
    </row>
    <row r="126" spans="1:8" ht="72">
      <c r="A126" s="1" t="s">
        <v>83</v>
      </c>
      <c r="B126" s="1" t="s">
        <v>84</v>
      </c>
      <c r="C126" s="1" t="s">
        <v>613</v>
      </c>
      <c r="D126" s="1"/>
      <c r="E126" s="1"/>
      <c r="F126" s="1"/>
      <c r="G126" s="7">
        <f>COUNTIF(SheetTable02[Focal Document
Element],A126)</f>
        <v>20</v>
      </c>
      <c r="H126" s="7" t="str">
        <f>IF(A126=A125,"",_xlfn.TEXTJOIN(", ", TRUE, C126:INDEX(C:C, ROW(C126)+SheetTable02[[#This Row],[Column1]]-1)))</f>
        <v/>
      </c>
    </row>
    <row r="127" spans="1:8" ht="72">
      <c r="A127" s="1" t="s">
        <v>83</v>
      </c>
      <c r="B127" s="1" t="s">
        <v>84</v>
      </c>
      <c r="C127" s="1" t="s">
        <v>612</v>
      </c>
      <c r="D127" s="1"/>
      <c r="E127" s="1"/>
      <c r="F127" s="1"/>
      <c r="G127" s="7">
        <f>COUNTIF(SheetTable02[Focal Document
Element],A127)</f>
        <v>20</v>
      </c>
      <c r="H127" s="7" t="str">
        <f>IF(A127=A126,"",_xlfn.TEXTJOIN(", ", TRUE, C127:INDEX(C:C, ROW(C127)+SheetTable02[[#This Row],[Column1]]-1)))</f>
        <v/>
      </c>
    </row>
    <row r="128" spans="1:8" ht="72">
      <c r="A128" s="1" t="s">
        <v>83</v>
      </c>
      <c r="B128" s="1" t="s">
        <v>84</v>
      </c>
      <c r="C128" s="1" t="s">
        <v>611</v>
      </c>
      <c r="D128" s="1"/>
      <c r="E128" s="1"/>
      <c r="F128" s="1"/>
      <c r="G128" s="7">
        <f>COUNTIF(SheetTable02[Focal Document
Element],A128)</f>
        <v>20</v>
      </c>
      <c r="H128" s="7" t="str">
        <f>IF(A128=A127,"",_xlfn.TEXTJOIN(", ", TRUE, C128:INDEX(C:C, ROW(C128)+SheetTable02[[#This Row],[Column1]]-1)))</f>
        <v/>
      </c>
    </row>
    <row r="129" spans="1:8" ht="72">
      <c r="A129" s="1" t="s">
        <v>681</v>
      </c>
      <c r="B129" s="1" t="s">
        <v>680</v>
      </c>
      <c r="C129" s="1"/>
      <c r="D129" s="1"/>
      <c r="E129" s="1"/>
      <c r="F129" s="1"/>
      <c r="G129" s="7">
        <f>COUNTIF(SheetTable02[Focal Document
Element],A129)</f>
        <v>1</v>
      </c>
      <c r="H129" s="7" t="str">
        <f>IF(A129=A128,"",_xlfn.TEXTJOIN(", ", TRUE, C129:INDEX(C:C, ROW(C129)+SheetTable02[[#This Row],[Column1]]-1)))</f>
        <v/>
      </c>
    </row>
    <row r="130" spans="1:8" ht="43.2">
      <c r="A130" s="1" t="s">
        <v>86</v>
      </c>
      <c r="B130" s="1" t="s">
        <v>87</v>
      </c>
      <c r="C130" s="1" t="s">
        <v>596</v>
      </c>
      <c r="D130" s="1"/>
      <c r="E130" s="1"/>
      <c r="F130" s="1"/>
      <c r="G130" s="7">
        <f>COUNTIF(SheetTable02[Focal Document
Element],A130)</f>
        <v>26</v>
      </c>
      <c r="H130" s="7" t="str">
        <f>IF(A130=A129,"",_xlfn.TEXTJOIN(", ", TRUE, C130:INDEX(C:C, ROW(C130)+SheetTable02[[#This Row],[Column1]]-1)))</f>
        <v>AC-01
, AT-01, AU-01, CA-01, CM-01, CP-01, IA-01, IR-01, MA-01, MP-01, PE-01, PL-01, PM-01, PS-01, PT-01, RA-01, SA-01, SC-01, SI-01, SR-01, PM-09, PM-18, PM-30, PM-31, RA-07, SR-06</v>
      </c>
    </row>
    <row r="131" spans="1:8" ht="43.2">
      <c r="A131" s="1" t="s">
        <v>86</v>
      </c>
      <c r="B131" s="1" t="s">
        <v>87</v>
      </c>
      <c r="C131" s="1" t="s">
        <v>626</v>
      </c>
      <c r="D131" s="1"/>
      <c r="E131" s="1"/>
      <c r="F131" s="1"/>
      <c r="G131" s="7">
        <f>COUNTIF(SheetTable02[Focal Document
Element],A131)</f>
        <v>26</v>
      </c>
      <c r="H131" s="7" t="str">
        <f>IF(A131=A130,"",_xlfn.TEXTJOIN(", ", TRUE, C131:INDEX(C:C, ROW(C131)+SheetTable02[[#This Row],[Column1]]-1)))</f>
        <v/>
      </c>
    </row>
    <row r="132" spans="1:8" ht="43.2">
      <c r="A132" s="1" t="s">
        <v>86</v>
      </c>
      <c r="B132" s="1" t="s">
        <v>87</v>
      </c>
      <c r="C132" s="1" t="s">
        <v>625</v>
      </c>
      <c r="D132" s="1"/>
      <c r="E132" s="1"/>
      <c r="F132" s="1"/>
      <c r="G132" s="7">
        <f>COUNTIF(SheetTable02[Focal Document
Element],A132)</f>
        <v>26</v>
      </c>
      <c r="H132" s="7" t="str">
        <f>IF(A132=A131,"",_xlfn.TEXTJOIN(", ", TRUE, C132:INDEX(C:C, ROW(C132)+SheetTable02[[#This Row],[Column1]]-1)))</f>
        <v/>
      </c>
    </row>
    <row r="133" spans="1:8" ht="43.2">
      <c r="A133" s="1" t="s">
        <v>86</v>
      </c>
      <c r="B133" s="1" t="s">
        <v>87</v>
      </c>
      <c r="C133" s="1" t="s">
        <v>624</v>
      </c>
      <c r="D133" s="1"/>
      <c r="E133" s="1"/>
      <c r="F133" s="1"/>
      <c r="G133" s="7">
        <f>COUNTIF(SheetTable02[Focal Document
Element],A133)</f>
        <v>26</v>
      </c>
      <c r="H133" s="7" t="str">
        <f>IF(A133=A132,"",_xlfn.TEXTJOIN(", ", TRUE, C133:INDEX(C:C, ROW(C133)+SheetTable02[[#This Row],[Column1]]-1)))</f>
        <v/>
      </c>
    </row>
    <row r="134" spans="1:8" ht="43.2">
      <c r="A134" s="1" t="s">
        <v>86</v>
      </c>
      <c r="B134" s="1" t="s">
        <v>87</v>
      </c>
      <c r="C134" s="1" t="s">
        <v>541</v>
      </c>
      <c r="D134" s="1"/>
      <c r="E134" s="1"/>
      <c r="F134" s="1"/>
      <c r="G134" s="7">
        <f>COUNTIF(SheetTable02[Focal Document
Element],A134)</f>
        <v>26</v>
      </c>
      <c r="H134" s="7" t="str">
        <f>IF(A134=A133,"",_xlfn.TEXTJOIN(", ", TRUE, C134:INDEX(C:C, ROW(C134)+SheetTable02[[#This Row],[Column1]]-1)))</f>
        <v/>
      </c>
    </row>
    <row r="135" spans="1:8" ht="43.2">
      <c r="A135" s="1" t="s">
        <v>86</v>
      </c>
      <c r="B135" s="1" t="s">
        <v>87</v>
      </c>
      <c r="C135" s="1" t="s">
        <v>623</v>
      </c>
      <c r="D135" s="1"/>
      <c r="E135" s="1"/>
      <c r="F135" s="1"/>
      <c r="G135" s="7">
        <f>COUNTIF(SheetTable02[Focal Document
Element],A135)</f>
        <v>26</v>
      </c>
      <c r="H135" s="7" t="str">
        <f>IF(A135=A134,"",_xlfn.TEXTJOIN(", ", TRUE, C135:INDEX(C:C, ROW(C135)+SheetTable02[[#This Row],[Column1]]-1)))</f>
        <v/>
      </c>
    </row>
    <row r="136" spans="1:8" ht="43.2">
      <c r="A136" s="1" t="s">
        <v>86</v>
      </c>
      <c r="B136" s="1" t="s">
        <v>87</v>
      </c>
      <c r="C136" s="1" t="s">
        <v>594</v>
      </c>
      <c r="D136" s="1"/>
      <c r="E136" s="1"/>
      <c r="F136" s="1"/>
      <c r="G136" s="7">
        <f>COUNTIF(SheetTable02[Focal Document
Element],A136)</f>
        <v>26</v>
      </c>
      <c r="H136" s="7" t="str">
        <f>IF(A136=A135,"",_xlfn.TEXTJOIN(", ", TRUE, C136:INDEX(C:C, ROW(C136)+SheetTable02[[#This Row],[Column1]]-1)))</f>
        <v/>
      </c>
    </row>
    <row r="137" spans="1:8" ht="43.2">
      <c r="A137" s="1" t="s">
        <v>86</v>
      </c>
      <c r="B137" s="1" t="s">
        <v>87</v>
      </c>
      <c r="C137" s="1" t="s">
        <v>424</v>
      </c>
      <c r="D137" s="1"/>
      <c r="E137" s="1"/>
      <c r="F137" s="1"/>
      <c r="G137" s="7">
        <f>COUNTIF(SheetTable02[Focal Document
Element],A137)</f>
        <v>26</v>
      </c>
      <c r="H137" s="7" t="str">
        <f>IF(A137=A136,"",_xlfn.TEXTJOIN(", ", TRUE, C137:INDEX(C:C, ROW(C137)+SheetTable02[[#This Row],[Column1]]-1)))</f>
        <v/>
      </c>
    </row>
    <row r="138" spans="1:8" ht="43.2">
      <c r="A138" s="1" t="s">
        <v>86</v>
      </c>
      <c r="B138" s="1" t="s">
        <v>87</v>
      </c>
      <c r="C138" s="1" t="s">
        <v>622</v>
      </c>
      <c r="D138" s="1"/>
      <c r="E138" s="1"/>
      <c r="F138" s="1"/>
      <c r="G138" s="7">
        <f>COUNTIF(SheetTable02[Focal Document
Element],A138)</f>
        <v>26</v>
      </c>
      <c r="H138" s="7" t="str">
        <f>IF(A138=A137,"",_xlfn.TEXTJOIN(", ", TRUE, C138:INDEX(C:C, ROW(C138)+SheetTable02[[#This Row],[Column1]]-1)))</f>
        <v/>
      </c>
    </row>
    <row r="139" spans="1:8" ht="43.2">
      <c r="A139" s="1" t="s">
        <v>86</v>
      </c>
      <c r="B139" s="1" t="s">
        <v>87</v>
      </c>
      <c r="C139" s="1" t="s">
        <v>621</v>
      </c>
      <c r="D139" s="1"/>
      <c r="E139" s="1"/>
      <c r="F139" s="1"/>
      <c r="G139" s="7">
        <f>COUNTIF(SheetTable02[Focal Document
Element],A139)</f>
        <v>26</v>
      </c>
      <c r="H139" s="7" t="str">
        <f>IF(A139=A138,"",_xlfn.TEXTJOIN(", ", TRUE, C139:INDEX(C:C, ROW(C139)+SheetTable02[[#This Row],[Column1]]-1)))</f>
        <v/>
      </c>
    </row>
    <row r="140" spans="1:8" ht="43.2">
      <c r="A140" s="1" t="s">
        <v>86</v>
      </c>
      <c r="B140" s="1" t="s">
        <v>87</v>
      </c>
      <c r="C140" s="1" t="s">
        <v>620</v>
      </c>
      <c r="D140" s="1"/>
      <c r="E140" s="1"/>
      <c r="F140" s="1"/>
      <c r="G140" s="7">
        <f>COUNTIF(SheetTable02[Focal Document
Element],A140)</f>
        <v>26</v>
      </c>
      <c r="H140" s="7" t="str">
        <f>IF(A140=A139,"",_xlfn.TEXTJOIN(", ", TRUE, C140:INDEX(C:C, ROW(C140)+SheetTable02[[#This Row],[Column1]]-1)))</f>
        <v/>
      </c>
    </row>
    <row r="141" spans="1:8" ht="43.2">
      <c r="A141" s="1" t="s">
        <v>86</v>
      </c>
      <c r="B141" s="1" t="s">
        <v>87</v>
      </c>
      <c r="C141" s="1" t="s">
        <v>619</v>
      </c>
      <c r="D141" s="1"/>
      <c r="E141" s="1"/>
      <c r="F141" s="1"/>
      <c r="G141" s="7">
        <f>COUNTIF(SheetTable02[Focal Document
Element],A141)</f>
        <v>26</v>
      </c>
      <c r="H141" s="7" t="str">
        <f>IF(A141=A140,"",_xlfn.TEXTJOIN(", ", TRUE, C141:INDEX(C:C, ROW(C141)+SheetTable02[[#This Row],[Column1]]-1)))</f>
        <v/>
      </c>
    </row>
    <row r="142" spans="1:8" ht="43.2">
      <c r="A142" s="1" t="s">
        <v>86</v>
      </c>
      <c r="B142" s="1" t="s">
        <v>87</v>
      </c>
      <c r="C142" s="1" t="s">
        <v>618</v>
      </c>
      <c r="D142" s="1"/>
      <c r="E142" s="1"/>
      <c r="F142" s="1"/>
      <c r="G142" s="7">
        <f>COUNTIF(SheetTable02[Focal Document
Element],A142)</f>
        <v>26</v>
      </c>
      <c r="H142" s="7" t="str">
        <f>IF(A142=A141,"",_xlfn.TEXTJOIN(", ", TRUE, C142:INDEX(C:C, ROW(C142)+SheetTable02[[#This Row],[Column1]]-1)))</f>
        <v/>
      </c>
    </row>
    <row r="143" spans="1:8" ht="43.2">
      <c r="A143" s="1" t="s">
        <v>86</v>
      </c>
      <c r="B143" s="1" t="s">
        <v>87</v>
      </c>
      <c r="C143" s="1" t="s">
        <v>617</v>
      </c>
      <c r="D143" s="1"/>
      <c r="E143" s="1"/>
      <c r="F143" s="1"/>
      <c r="G143" s="7">
        <f>COUNTIF(SheetTable02[Focal Document
Element],A143)</f>
        <v>26</v>
      </c>
      <c r="H143" s="7" t="str">
        <f>IF(A143=A142,"",_xlfn.TEXTJOIN(", ", TRUE, C143:INDEX(C:C, ROW(C143)+SheetTable02[[#This Row],[Column1]]-1)))</f>
        <v/>
      </c>
    </row>
    <row r="144" spans="1:8" ht="43.2">
      <c r="A144" s="1" t="s">
        <v>86</v>
      </c>
      <c r="B144" s="1" t="s">
        <v>87</v>
      </c>
      <c r="C144" s="1" t="s">
        <v>616</v>
      </c>
      <c r="D144" s="1"/>
      <c r="E144" s="1"/>
      <c r="F144" s="1"/>
      <c r="G144" s="7">
        <f>COUNTIF(SheetTable02[Focal Document
Element],A144)</f>
        <v>26</v>
      </c>
      <c r="H144" s="7" t="str">
        <f>IF(A144=A143,"",_xlfn.TEXTJOIN(", ", TRUE, C144:INDEX(C:C, ROW(C144)+SheetTable02[[#This Row],[Column1]]-1)))</f>
        <v/>
      </c>
    </row>
    <row r="145" spans="1:8" ht="43.2">
      <c r="A145" s="1" t="s">
        <v>86</v>
      </c>
      <c r="B145" s="1" t="s">
        <v>87</v>
      </c>
      <c r="C145" s="1" t="s">
        <v>615</v>
      </c>
      <c r="D145" s="1"/>
      <c r="E145" s="1"/>
      <c r="F145" s="1"/>
      <c r="G145" s="7">
        <f>COUNTIF(SheetTable02[Focal Document
Element],A145)</f>
        <v>26</v>
      </c>
      <c r="H145" s="7" t="str">
        <f>IF(A145=A144,"",_xlfn.TEXTJOIN(", ", TRUE, C145:INDEX(C:C, ROW(C145)+SheetTable02[[#This Row],[Column1]]-1)))</f>
        <v/>
      </c>
    </row>
    <row r="146" spans="1:8" ht="43.2">
      <c r="A146" s="1" t="s">
        <v>86</v>
      </c>
      <c r="B146" s="1" t="s">
        <v>87</v>
      </c>
      <c r="C146" s="1" t="s">
        <v>614</v>
      </c>
      <c r="D146" s="1"/>
      <c r="E146" s="1"/>
      <c r="F146" s="1"/>
      <c r="G146" s="7">
        <f>COUNTIF(SheetTable02[Focal Document
Element],A146)</f>
        <v>26</v>
      </c>
      <c r="H146" s="7" t="str">
        <f>IF(A146=A145,"",_xlfn.TEXTJOIN(", ", TRUE, C146:INDEX(C:C, ROW(C146)+SheetTable02[[#This Row],[Column1]]-1)))</f>
        <v/>
      </c>
    </row>
    <row r="147" spans="1:8" ht="43.2">
      <c r="A147" s="1" t="s">
        <v>86</v>
      </c>
      <c r="B147" s="1" t="s">
        <v>87</v>
      </c>
      <c r="C147" s="1" t="s">
        <v>613</v>
      </c>
      <c r="D147" s="1"/>
      <c r="E147" s="1"/>
      <c r="F147" s="1"/>
      <c r="G147" s="7">
        <f>COUNTIF(SheetTable02[Focal Document
Element],A147)</f>
        <v>26</v>
      </c>
      <c r="H147" s="7" t="str">
        <f>IF(A147=A146,"",_xlfn.TEXTJOIN(", ", TRUE, C147:INDEX(C:C, ROW(C147)+SheetTable02[[#This Row],[Column1]]-1)))</f>
        <v/>
      </c>
    </row>
    <row r="148" spans="1:8" ht="43.2">
      <c r="A148" s="1" t="s">
        <v>86</v>
      </c>
      <c r="B148" s="1" t="s">
        <v>87</v>
      </c>
      <c r="C148" s="1" t="s">
        <v>612</v>
      </c>
      <c r="D148" s="1"/>
      <c r="E148" s="1"/>
      <c r="F148" s="1"/>
      <c r="G148" s="7">
        <f>COUNTIF(SheetTable02[Focal Document
Element],A148)</f>
        <v>26</v>
      </c>
      <c r="H148" s="7" t="str">
        <f>IF(A148=A147,"",_xlfn.TEXTJOIN(", ", TRUE, C148:INDEX(C:C, ROW(C148)+SheetTable02[[#This Row],[Column1]]-1)))</f>
        <v/>
      </c>
    </row>
    <row r="149" spans="1:8" ht="43.2">
      <c r="A149" s="1" t="s">
        <v>86</v>
      </c>
      <c r="B149" s="1" t="s">
        <v>87</v>
      </c>
      <c r="C149" s="1" t="s">
        <v>611</v>
      </c>
      <c r="D149" s="1"/>
      <c r="E149" s="1"/>
      <c r="F149" s="1"/>
      <c r="G149" s="7">
        <f>COUNTIF(SheetTable02[Focal Document
Element],A149)</f>
        <v>26</v>
      </c>
      <c r="H149" s="7" t="str">
        <f>IF(A149=A148,"",_xlfn.TEXTJOIN(", ", TRUE, C149:INDEX(C:C, ROW(C149)+SheetTable02[[#This Row],[Column1]]-1)))</f>
        <v/>
      </c>
    </row>
    <row r="150" spans="1:8" ht="43.2">
      <c r="A150" s="1" t="s">
        <v>86</v>
      </c>
      <c r="B150" s="1" t="s">
        <v>87</v>
      </c>
      <c r="C150" s="1" t="s">
        <v>426</v>
      </c>
      <c r="D150" s="1"/>
      <c r="E150" s="1"/>
      <c r="F150" s="1"/>
      <c r="G150" s="7">
        <f>COUNTIF(SheetTable02[Focal Document
Element],A150)</f>
        <v>26</v>
      </c>
      <c r="H150" s="7" t="str">
        <f>IF(A150=A149,"",_xlfn.TEXTJOIN(", ", TRUE, C150:INDEX(C:C, ROW(C150)+SheetTable02[[#This Row],[Column1]]-1)))</f>
        <v/>
      </c>
    </row>
    <row r="151" spans="1:8" ht="43.2">
      <c r="A151" s="1" t="s">
        <v>86</v>
      </c>
      <c r="B151" s="1" t="s">
        <v>87</v>
      </c>
      <c r="C151" s="1" t="s">
        <v>460</v>
      </c>
      <c r="D151" s="1"/>
      <c r="E151" s="1"/>
      <c r="F151" s="1"/>
      <c r="G151" s="7">
        <f>COUNTIF(SheetTable02[Focal Document
Element],A151)</f>
        <v>26</v>
      </c>
      <c r="H151" s="7" t="str">
        <f>IF(A151=A150,"",_xlfn.TEXTJOIN(", ", TRUE, C151:INDEX(C:C, ROW(C151)+SheetTable02[[#This Row],[Column1]]-1)))</f>
        <v/>
      </c>
    </row>
    <row r="152" spans="1:8" ht="43.2">
      <c r="A152" s="1" t="s">
        <v>86</v>
      </c>
      <c r="B152" s="1" t="s">
        <v>87</v>
      </c>
      <c r="C152" s="1" t="s">
        <v>458</v>
      </c>
      <c r="D152" s="1"/>
      <c r="E152" s="1"/>
      <c r="F152" s="1"/>
      <c r="G152" s="7">
        <f>COUNTIF(SheetTable02[Focal Document
Element],A152)</f>
        <v>26</v>
      </c>
      <c r="H152" s="7" t="str">
        <f>IF(A152=A151,"",_xlfn.TEXTJOIN(", ", TRUE, C152:INDEX(C:C, ROW(C152)+SheetTable02[[#This Row],[Column1]]-1)))</f>
        <v/>
      </c>
    </row>
    <row r="153" spans="1:8" ht="43.2">
      <c r="A153" s="1" t="s">
        <v>86</v>
      </c>
      <c r="B153" s="1" t="s">
        <v>87</v>
      </c>
      <c r="C153" s="1" t="s">
        <v>606</v>
      </c>
      <c r="D153" s="1"/>
      <c r="E153" s="1"/>
      <c r="F153" s="1"/>
      <c r="G153" s="7">
        <f>COUNTIF(SheetTable02[Focal Document
Element],A153)</f>
        <v>26</v>
      </c>
      <c r="H153" s="7" t="str">
        <f>IF(A153=A152,"",_xlfn.TEXTJOIN(", ", TRUE, C153:INDEX(C:C, ROW(C153)+SheetTable02[[#This Row],[Column1]]-1)))</f>
        <v/>
      </c>
    </row>
    <row r="154" spans="1:8" ht="43.2">
      <c r="A154" s="1" t="s">
        <v>86</v>
      </c>
      <c r="B154" s="1" t="s">
        <v>87</v>
      </c>
      <c r="C154" s="1" t="s">
        <v>441</v>
      </c>
      <c r="D154" s="1"/>
      <c r="E154" s="1"/>
      <c r="F154" s="1"/>
      <c r="G154" s="7">
        <f>COUNTIF(SheetTable02[Focal Document
Element],A154)</f>
        <v>26</v>
      </c>
      <c r="H154" s="7" t="str">
        <f>IF(A154=A153,"",_xlfn.TEXTJOIN(", ", TRUE, C154:INDEX(C:C, ROW(C154)+SheetTable02[[#This Row],[Column1]]-1)))</f>
        <v/>
      </c>
    </row>
    <row r="155" spans="1:8" ht="43.2">
      <c r="A155" s="1" t="s">
        <v>86</v>
      </c>
      <c r="B155" s="1" t="s">
        <v>87</v>
      </c>
      <c r="C155" s="1" t="s">
        <v>631</v>
      </c>
      <c r="D155" s="1"/>
      <c r="E155" s="1"/>
      <c r="F155" s="1"/>
      <c r="G155" s="7">
        <f>COUNTIF(SheetTable02[Focal Document
Element],A155)</f>
        <v>26</v>
      </c>
      <c r="H155" s="7" t="str">
        <f>IF(A155=A154,"",_xlfn.TEXTJOIN(", ", TRUE, C155:INDEX(C:C, ROW(C155)+SheetTable02[[#This Row],[Column1]]-1)))</f>
        <v/>
      </c>
    </row>
    <row r="156" spans="1:8" ht="57.6">
      <c r="A156" s="1" t="s">
        <v>89</v>
      </c>
      <c r="B156" s="1" t="s">
        <v>90</v>
      </c>
      <c r="C156" s="1" t="s">
        <v>426</v>
      </c>
      <c r="D156" s="1"/>
      <c r="E156" s="1"/>
      <c r="F156" s="1"/>
      <c r="G156" s="7">
        <f>COUNTIF(SheetTable02[Focal Document
Element],A156)</f>
        <v>6</v>
      </c>
      <c r="H156" s="7" t="str">
        <f>IF(A156=A155,"",_xlfn.TEXTJOIN(", ", TRUE, C156:INDEX(C:C, ROW(C156)+SheetTable02[[#This Row],[Column1]]-1)))</f>
        <v>PM-09, PM-19, PM-30, PM-31, RA-07, SR-06</v>
      </c>
    </row>
    <row r="157" spans="1:8" ht="57.6">
      <c r="A157" s="1" t="s">
        <v>89</v>
      </c>
      <c r="B157" s="1" t="s">
        <v>90</v>
      </c>
      <c r="C157" s="1" t="s">
        <v>672</v>
      </c>
      <c r="D157" s="1"/>
      <c r="E157" s="1"/>
      <c r="F157" s="1"/>
      <c r="G157" s="7">
        <f>COUNTIF(SheetTable02[Focal Document
Element],A157)</f>
        <v>6</v>
      </c>
      <c r="H157" s="7" t="str">
        <f>IF(A157=A156,"",_xlfn.TEXTJOIN(", ", TRUE, C157:INDEX(C:C, ROW(C157)+SheetTable02[[#This Row],[Column1]]-1)))</f>
        <v/>
      </c>
    </row>
    <row r="158" spans="1:8" ht="57.6">
      <c r="A158" s="1" t="s">
        <v>89</v>
      </c>
      <c r="B158" s="1" t="s">
        <v>90</v>
      </c>
      <c r="C158" s="1" t="s">
        <v>458</v>
      </c>
      <c r="D158" s="1"/>
      <c r="E158" s="1"/>
      <c r="F158" s="1"/>
      <c r="G158" s="7">
        <f>COUNTIF(SheetTable02[Focal Document
Element],A158)</f>
        <v>6</v>
      </c>
      <c r="H158" s="7" t="str">
        <f>IF(A158=A157,"",_xlfn.TEXTJOIN(", ", TRUE, C158:INDEX(C:C, ROW(C158)+SheetTable02[[#This Row],[Column1]]-1)))</f>
        <v/>
      </c>
    </row>
    <row r="159" spans="1:8" ht="57.6">
      <c r="A159" s="1" t="s">
        <v>89</v>
      </c>
      <c r="B159" s="1" t="s">
        <v>90</v>
      </c>
      <c r="C159" s="1" t="s">
        <v>606</v>
      </c>
      <c r="D159" s="1"/>
      <c r="E159" s="1"/>
      <c r="F159" s="1"/>
      <c r="G159" s="7">
        <f>COUNTIF(SheetTable02[Focal Document
Element],A159)</f>
        <v>6</v>
      </c>
      <c r="H159" s="7" t="str">
        <f>IF(A159=A158,"",_xlfn.TEXTJOIN(", ", TRUE, C159:INDEX(C:C, ROW(C159)+SheetTable02[[#This Row],[Column1]]-1)))</f>
        <v/>
      </c>
    </row>
    <row r="160" spans="1:8" ht="57.6">
      <c r="A160" s="1" t="s">
        <v>89</v>
      </c>
      <c r="B160" s="1" t="s">
        <v>90</v>
      </c>
      <c r="C160" s="1" t="s">
        <v>441</v>
      </c>
      <c r="D160" s="1"/>
      <c r="E160" s="1"/>
      <c r="F160" s="1"/>
      <c r="G160" s="7">
        <f>COUNTIF(SheetTable02[Focal Document
Element],A160)</f>
        <v>6</v>
      </c>
      <c r="H160" s="7" t="str">
        <f>IF(A160=A159,"",_xlfn.TEXTJOIN(", ", TRUE, C160:INDEX(C:C, ROW(C160)+SheetTable02[[#This Row],[Column1]]-1)))</f>
        <v/>
      </c>
    </row>
    <row r="161" spans="1:8" ht="57.6">
      <c r="A161" s="1" t="s">
        <v>89</v>
      </c>
      <c r="B161" s="1" t="s">
        <v>90</v>
      </c>
      <c r="C161" s="1" t="s">
        <v>631</v>
      </c>
      <c r="D161" s="1"/>
      <c r="E161" s="1"/>
      <c r="F161" s="1"/>
      <c r="G161" s="7">
        <f>COUNTIF(SheetTable02[Focal Document
Element],A161)</f>
        <v>6</v>
      </c>
      <c r="H161" s="7" t="str">
        <f>IF(A161=A160,"",_xlfn.TEXTJOIN(", ", TRUE, C161:INDEX(C:C, ROW(C161)+SheetTable02[[#This Row],[Column1]]-1)))</f>
        <v/>
      </c>
    </row>
    <row r="162" spans="1:8" ht="43.2">
      <c r="A162" s="1" t="s">
        <v>92</v>
      </c>
      <c r="B162" s="1" t="s">
        <v>93</v>
      </c>
      <c r="C162" s="1" t="s">
        <v>607</v>
      </c>
      <c r="D162" s="1"/>
      <c r="E162" s="1"/>
      <c r="F162" s="1"/>
      <c r="G162" s="7">
        <f>COUNTIF(SheetTable02[Focal Document
Element],A162)</f>
        <v>4</v>
      </c>
      <c r="H162" s="7" t="str">
        <f>IF(A162=A161,"",_xlfn.TEXTJOIN(", ", TRUE, C162:INDEX(C:C, ROW(C162)+SheetTable02[[#This Row],[Column1]]-1)))</f>
        <v>PM-04, PM-06, RA-07, SR-06</v>
      </c>
    </row>
    <row r="163" spans="1:8" ht="43.2">
      <c r="A163" s="1" t="s">
        <v>92</v>
      </c>
      <c r="B163" s="1" t="s">
        <v>93</v>
      </c>
      <c r="C163" s="1" t="s">
        <v>679</v>
      </c>
      <c r="D163" s="1"/>
      <c r="E163" s="1"/>
      <c r="F163" s="1"/>
      <c r="G163" s="7">
        <f>COUNTIF(SheetTable02[Focal Document
Element],A163)</f>
        <v>4</v>
      </c>
      <c r="H163" s="7" t="str">
        <f>IF(A163=A162,"",_xlfn.TEXTJOIN(", ", TRUE, C163:INDEX(C:C, ROW(C163)+SheetTable02[[#This Row],[Column1]]-1)))</f>
        <v/>
      </c>
    </row>
    <row r="164" spans="1:8" ht="43.2">
      <c r="A164" s="1" t="s">
        <v>92</v>
      </c>
      <c r="B164" s="1" t="s">
        <v>93</v>
      </c>
      <c r="C164" s="1" t="s">
        <v>441</v>
      </c>
      <c r="D164" s="1"/>
      <c r="E164" s="1"/>
      <c r="F164" s="1"/>
      <c r="G164" s="7">
        <f>COUNTIF(SheetTable02[Focal Document
Element],A164)</f>
        <v>4</v>
      </c>
      <c r="H164" s="7" t="str">
        <f>IF(A164=A163,"",_xlfn.TEXTJOIN(", ", TRUE, C164:INDEX(C:C, ROW(C164)+SheetTable02[[#This Row],[Column1]]-1)))</f>
        <v/>
      </c>
    </row>
    <row r="165" spans="1:8" ht="43.2">
      <c r="A165" s="1" t="s">
        <v>92</v>
      </c>
      <c r="B165" s="1" t="s">
        <v>93</v>
      </c>
      <c r="C165" s="1" t="s">
        <v>631</v>
      </c>
      <c r="D165" s="1"/>
      <c r="E165" s="1"/>
      <c r="F165" s="1"/>
      <c r="G165" s="7">
        <f>COUNTIF(SheetTable02[Focal Document
Element],A165)</f>
        <v>4</v>
      </c>
      <c r="H165" s="7" t="str">
        <f>IF(A165=A164,"",_xlfn.TEXTJOIN(", ", TRUE, C165:INDEX(C:C, ROW(C165)+SheetTable02[[#This Row],[Column1]]-1)))</f>
        <v/>
      </c>
    </row>
    <row r="166" spans="1:8" ht="57.6">
      <c r="A166" s="1" t="s">
        <v>678</v>
      </c>
      <c r="B166" s="1" t="s">
        <v>677</v>
      </c>
      <c r="C166" s="1"/>
      <c r="D166" s="1"/>
      <c r="E166" s="1"/>
      <c r="F166" s="1"/>
      <c r="G166" s="7">
        <f>COUNTIF(SheetTable02[Focal Document
Element],A166)</f>
        <v>1</v>
      </c>
      <c r="H166" s="7" t="str">
        <f>IF(A166=A165,"",_xlfn.TEXTJOIN(", ", TRUE, C166:INDEX(C:C, ROW(C166)+SheetTable02[[#This Row],[Column1]]-1)))</f>
        <v/>
      </c>
    </row>
    <row r="167" spans="1:8" ht="72">
      <c r="A167" s="1" t="s">
        <v>95</v>
      </c>
      <c r="B167" s="1" t="s">
        <v>96</v>
      </c>
      <c r="C167" s="1" t="s">
        <v>676</v>
      </c>
      <c r="D167" s="1"/>
      <c r="E167" s="1"/>
      <c r="F167" s="1"/>
      <c r="G167" s="7">
        <f>COUNTIF(SheetTable02[Focal Document
Element],A167)</f>
        <v>3</v>
      </c>
      <c r="H167" s="7" t="str">
        <f>IF(A167=A166,"",_xlfn.TEXTJOIN(", ", TRUE, C167:INDEX(C:C, ROW(C167)+SheetTable02[[#This Row],[Column1]]-1)))</f>
        <v>PM-30
, SR-02, SR-03</v>
      </c>
    </row>
    <row r="168" spans="1:8" ht="72">
      <c r="A168" s="1" t="s">
        <v>95</v>
      </c>
      <c r="B168" s="1" t="s">
        <v>96</v>
      </c>
      <c r="C168" s="1" t="s">
        <v>601</v>
      </c>
      <c r="D168" s="1"/>
      <c r="E168" s="1"/>
      <c r="F168" s="1"/>
      <c r="G168" s="7">
        <f>COUNTIF(SheetTable02[Focal Document
Element],A168)</f>
        <v>3</v>
      </c>
      <c r="H168" s="7" t="str">
        <f>IF(A168=A167,"",_xlfn.TEXTJOIN(", ", TRUE, C168:INDEX(C:C, ROW(C168)+SheetTable02[[#This Row],[Column1]]-1)))</f>
        <v/>
      </c>
    </row>
    <row r="169" spans="1:8" ht="72">
      <c r="A169" s="1" t="s">
        <v>95</v>
      </c>
      <c r="B169" s="1" t="s">
        <v>96</v>
      </c>
      <c r="C169" s="1" t="s">
        <v>437</v>
      </c>
      <c r="D169" s="1"/>
      <c r="E169" s="1"/>
      <c r="F169" s="1"/>
      <c r="G169" s="7">
        <f>COUNTIF(SheetTable02[Focal Document
Element],A169)</f>
        <v>3</v>
      </c>
      <c r="H169" s="7" t="str">
        <f>IF(A169=A168,"",_xlfn.TEXTJOIN(", ", TRUE, C169:INDEX(C:C, ROW(C169)+SheetTable02[[#This Row],[Column1]]-1)))</f>
        <v/>
      </c>
    </row>
    <row r="170" spans="1:8" ht="57.6">
      <c r="A170" s="1" t="s">
        <v>98</v>
      </c>
      <c r="B170" s="1" t="s">
        <v>99</v>
      </c>
      <c r="C170" s="1" t="s">
        <v>675</v>
      </c>
      <c r="D170" s="1"/>
      <c r="E170" s="1"/>
      <c r="F170" s="1"/>
      <c r="G170" s="7">
        <f>COUNTIF(SheetTable02[Focal Document
Element],A170)</f>
        <v>3</v>
      </c>
      <c r="H170" s="7" t="str">
        <f>IF(A170=A169,"",_xlfn.TEXTJOIN(", ", TRUE, C170:INDEX(C:C, ROW(C170)+SheetTable02[[#This Row],[Column1]]-1)))</f>
        <v>SR-02
, SR-03, SR-05</v>
      </c>
    </row>
    <row r="171" spans="1:8" ht="57.6">
      <c r="A171" s="1" t="s">
        <v>98</v>
      </c>
      <c r="B171" s="1" t="s">
        <v>99</v>
      </c>
      <c r="C171" s="1" t="s">
        <v>437</v>
      </c>
      <c r="D171" s="1"/>
      <c r="E171" s="1"/>
      <c r="F171" s="1"/>
      <c r="G171" s="7">
        <f>COUNTIF(SheetTable02[Focal Document
Element],A171)</f>
        <v>3</v>
      </c>
      <c r="H171" s="7" t="str">
        <f>IF(A171=A170,"",_xlfn.TEXTJOIN(", ", TRUE, C171:INDEX(C:C, ROW(C171)+SheetTable02[[#This Row],[Column1]]-1)))</f>
        <v/>
      </c>
    </row>
    <row r="172" spans="1:8" ht="57.6">
      <c r="A172" s="1" t="s">
        <v>98</v>
      </c>
      <c r="B172" s="1" t="s">
        <v>99</v>
      </c>
      <c r="C172" s="1" t="s">
        <v>604</v>
      </c>
      <c r="D172" s="1"/>
      <c r="E172" s="1"/>
      <c r="F172" s="1"/>
      <c r="G172" s="7">
        <f>COUNTIF(SheetTable02[Focal Document
Element],A172)</f>
        <v>3</v>
      </c>
      <c r="H172" s="7" t="str">
        <f>IF(A172=A171,"",_xlfn.TEXTJOIN(", ", TRUE, C172:INDEX(C:C, ROW(C172)+SheetTable02[[#This Row],[Column1]]-1)))</f>
        <v/>
      </c>
    </row>
    <row r="173" spans="1:8" ht="72">
      <c r="A173" s="1" t="s">
        <v>101</v>
      </c>
      <c r="B173" s="1" t="s">
        <v>102</v>
      </c>
      <c r="C173" s="1" t="s">
        <v>596</v>
      </c>
      <c r="D173" s="1"/>
      <c r="E173" s="1"/>
      <c r="F173" s="1"/>
      <c r="G173" s="7">
        <f>COUNTIF(SheetTable02[Focal Document
Element],A173)</f>
        <v>28</v>
      </c>
      <c r="H173" s="7" t="str">
        <f>IF(A173=A172,"",_xlfn.TEXTJOIN(", ", TRUE, C173:INDEX(C:C, ROW(C173)+SheetTable02[[#This Row],[Column1]]-1)))</f>
        <v>AC-01
, AT-01, AU-01, CA-01, CM-01, CP-01, IA-01, IR-01, MA-01, MP-01, PE-01, PL-01, PM-01, PS-01, PT-01, RA-01, SA-01, SC-01, SI-01, SR-01, PM-09, PM-18, PM-30, PM-31, SR-02, SR-03, RA-03, RA-07</v>
      </c>
    </row>
    <row r="174" spans="1:8" ht="72">
      <c r="A174" s="1" t="s">
        <v>101</v>
      </c>
      <c r="B174" s="1" t="s">
        <v>102</v>
      </c>
      <c r="C174" s="1" t="s">
        <v>626</v>
      </c>
      <c r="D174" s="1"/>
      <c r="E174" s="1"/>
      <c r="F174" s="1"/>
      <c r="G174" s="7">
        <f>COUNTIF(SheetTable02[Focal Document
Element],A174)</f>
        <v>28</v>
      </c>
      <c r="H174" s="7" t="str">
        <f>IF(A174=A173,"",_xlfn.TEXTJOIN(", ", TRUE, C174:INDEX(C:C, ROW(C174)+SheetTable02[[#This Row],[Column1]]-1)))</f>
        <v/>
      </c>
    </row>
    <row r="175" spans="1:8" ht="72">
      <c r="A175" s="1" t="s">
        <v>101</v>
      </c>
      <c r="B175" s="1" t="s">
        <v>102</v>
      </c>
      <c r="C175" s="1" t="s">
        <v>625</v>
      </c>
      <c r="D175" s="1"/>
      <c r="E175" s="1"/>
      <c r="F175" s="1"/>
      <c r="G175" s="7">
        <f>COUNTIF(SheetTable02[Focal Document
Element],A175)</f>
        <v>28</v>
      </c>
      <c r="H175" s="7" t="str">
        <f>IF(A175=A174,"",_xlfn.TEXTJOIN(", ", TRUE, C175:INDEX(C:C, ROW(C175)+SheetTable02[[#This Row],[Column1]]-1)))</f>
        <v/>
      </c>
    </row>
    <row r="176" spans="1:8" ht="72">
      <c r="A176" s="1" t="s">
        <v>101</v>
      </c>
      <c r="B176" s="1" t="s">
        <v>102</v>
      </c>
      <c r="C176" s="1" t="s">
        <v>624</v>
      </c>
      <c r="D176" s="1"/>
      <c r="E176" s="1"/>
      <c r="F176" s="1"/>
      <c r="G176" s="7">
        <f>COUNTIF(SheetTable02[Focal Document
Element],A176)</f>
        <v>28</v>
      </c>
      <c r="H176" s="7" t="str">
        <f>IF(A176=A175,"",_xlfn.TEXTJOIN(", ", TRUE, C176:INDEX(C:C, ROW(C176)+SheetTable02[[#This Row],[Column1]]-1)))</f>
        <v/>
      </c>
    </row>
    <row r="177" spans="1:8" ht="72">
      <c r="A177" s="1" t="s">
        <v>101</v>
      </c>
      <c r="B177" s="1" t="s">
        <v>102</v>
      </c>
      <c r="C177" s="1" t="s">
        <v>541</v>
      </c>
      <c r="D177" s="1"/>
      <c r="E177" s="1"/>
      <c r="F177" s="1"/>
      <c r="G177" s="7">
        <f>COUNTIF(SheetTable02[Focal Document
Element],A177)</f>
        <v>28</v>
      </c>
      <c r="H177" s="7" t="str">
        <f>IF(A177=A176,"",_xlfn.TEXTJOIN(", ", TRUE, C177:INDEX(C:C, ROW(C177)+SheetTable02[[#This Row],[Column1]]-1)))</f>
        <v/>
      </c>
    </row>
    <row r="178" spans="1:8" ht="72">
      <c r="A178" s="1" t="s">
        <v>101</v>
      </c>
      <c r="B178" s="1" t="s">
        <v>102</v>
      </c>
      <c r="C178" s="1" t="s">
        <v>623</v>
      </c>
      <c r="D178" s="1"/>
      <c r="E178" s="1"/>
      <c r="F178" s="1"/>
      <c r="G178" s="7">
        <f>COUNTIF(SheetTable02[Focal Document
Element],A178)</f>
        <v>28</v>
      </c>
      <c r="H178" s="7" t="str">
        <f>IF(A178=A177,"",_xlfn.TEXTJOIN(", ", TRUE, C178:INDEX(C:C, ROW(C178)+SheetTable02[[#This Row],[Column1]]-1)))</f>
        <v/>
      </c>
    </row>
    <row r="179" spans="1:8" ht="72">
      <c r="A179" s="1" t="s">
        <v>101</v>
      </c>
      <c r="B179" s="1" t="s">
        <v>102</v>
      </c>
      <c r="C179" s="1" t="s">
        <v>594</v>
      </c>
      <c r="D179" s="1"/>
      <c r="E179" s="1"/>
      <c r="F179" s="1"/>
      <c r="G179" s="7">
        <f>COUNTIF(SheetTable02[Focal Document
Element],A179)</f>
        <v>28</v>
      </c>
      <c r="H179" s="7" t="str">
        <f>IF(A179=A178,"",_xlfn.TEXTJOIN(", ", TRUE, C179:INDEX(C:C, ROW(C179)+SheetTable02[[#This Row],[Column1]]-1)))</f>
        <v/>
      </c>
    </row>
    <row r="180" spans="1:8" ht="72">
      <c r="A180" s="1" t="s">
        <v>101</v>
      </c>
      <c r="B180" s="1" t="s">
        <v>102</v>
      </c>
      <c r="C180" s="1" t="s">
        <v>424</v>
      </c>
      <c r="D180" s="1"/>
      <c r="E180" s="1"/>
      <c r="F180" s="1"/>
      <c r="G180" s="7">
        <f>COUNTIF(SheetTable02[Focal Document
Element],A180)</f>
        <v>28</v>
      </c>
      <c r="H180" s="7" t="str">
        <f>IF(A180=A179,"",_xlfn.TEXTJOIN(", ", TRUE, C180:INDEX(C:C, ROW(C180)+SheetTable02[[#This Row],[Column1]]-1)))</f>
        <v/>
      </c>
    </row>
    <row r="181" spans="1:8" ht="72">
      <c r="A181" s="1" t="s">
        <v>101</v>
      </c>
      <c r="B181" s="1" t="s">
        <v>102</v>
      </c>
      <c r="C181" s="1" t="s">
        <v>622</v>
      </c>
      <c r="D181" s="1"/>
      <c r="E181" s="1"/>
      <c r="F181" s="1"/>
      <c r="G181" s="7">
        <f>COUNTIF(SheetTable02[Focal Document
Element],A181)</f>
        <v>28</v>
      </c>
      <c r="H181" s="7" t="str">
        <f>IF(A181=A180,"",_xlfn.TEXTJOIN(", ", TRUE, C181:INDEX(C:C, ROW(C181)+SheetTable02[[#This Row],[Column1]]-1)))</f>
        <v/>
      </c>
    </row>
    <row r="182" spans="1:8" ht="72">
      <c r="A182" s="1" t="s">
        <v>101</v>
      </c>
      <c r="B182" s="1" t="s">
        <v>102</v>
      </c>
      <c r="C182" s="1" t="s">
        <v>621</v>
      </c>
      <c r="D182" s="1"/>
      <c r="E182" s="1"/>
      <c r="F182" s="1"/>
      <c r="G182" s="7">
        <f>COUNTIF(SheetTable02[Focal Document
Element],A182)</f>
        <v>28</v>
      </c>
      <c r="H182" s="7" t="str">
        <f>IF(A182=A181,"",_xlfn.TEXTJOIN(", ", TRUE, C182:INDEX(C:C, ROW(C182)+SheetTable02[[#This Row],[Column1]]-1)))</f>
        <v/>
      </c>
    </row>
    <row r="183" spans="1:8" ht="72">
      <c r="A183" s="1" t="s">
        <v>101</v>
      </c>
      <c r="B183" s="1" t="s">
        <v>102</v>
      </c>
      <c r="C183" s="1" t="s">
        <v>620</v>
      </c>
      <c r="D183" s="1"/>
      <c r="E183" s="1"/>
      <c r="F183" s="1"/>
      <c r="G183" s="7">
        <f>COUNTIF(SheetTable02[Focal Document
Element],A183)</f>
        <v>28</v>
      </c>
      <c r="H183" s="7" t="str">
        <f>IF(A183=A182,"",_xlfn.TEXTJOIN(", ", TRUE, C183:INDEX(C:C, ROW(C183)+SheetTable02[[#This Row],[Column1]]-1)))</f>
        <v/>
      </c>
    </row>
    <row r="184" spans="1:8" ht="72">
      <c r="A184" s="1" t="s">
        <v>101</v>
      </c>
      <c r="B184" s="1" t="s">
        <v>102</v>
      </c>
      <c r="C184" s="1" t="s">
        <v>619</v>
      </c>
      <c r="D184" s="1"/>
      <c r="E184" s="1"/>
      <c r="F184" s="1"/>
      <c r="G184" s="7">
        <f>COUNTIF(SheetTable02[Focal Document
Element],A184)</f>
        <v>28</v>
      </c>
      <c r="H184" s="7" t="str">
        <f>IF(A184=A183,"",_xlfn.TEXTJOIN(", ", TRUE, C184:INDEX(C:C, ROW(C184)+SheetTable02[[#This Row],[Column1]]-1)))</f>
        <v/>
      </c>
    </row>
    <row r="185" spans="1:8" ht="72">
      <c r="A185" s="1" t="s">
        <v>101</v>
      </c>
      <c r="B185" s="1" t="s">
        <v>102</v>
      </c>
      <c r="C185" s="1" t="s">
        <v>618</v>
      </c>
      <c r="D185" s="1"/>
      <c r="E185" s="1"/>
      <c r="F185" s="1"/>
      <c r="G185" s="7">
        <f>COUNTIF(SheetTable02[Focal Document
Element],A185)</f>
        <v>28</v>
      </c>
      <c r="H185" s="7" t="str">
        <f>IF(A185=A184,"",_xlfn.TEXTJOIN(", ", TRUE, C185:INDEX(C:C, ROW(C185)+SheetTable02[[#This Row],[Column1]]-1)))</f>
        <v/>
      </c>
    </row>
    <row r="186" spans="1:8" ht="72">
      <c r="A186" s="1" t="s">
        <v>101</v>
      </c>
      <c r="B186" s="1" t="s">
        <v>102</v>
      </c>
      <c r="C186" s="1" t="s">
        <v>617</v>
      </c>
      <c r="D186" s="1"/>
      <c r="E186" s="1"/>
      <c r="F186" s="1"/>
      <c r="G186" s="7">
        <f>COUNTIF(SheetTable02[Focal Document
Element],A186)</f>
        <v>28</v>
      </c>
      <c r="H186" s="7" t="str">
        <f>IF(A186=A185,"",_xlfn.TEXTJOIN(", ", TRUE, C186:INDEX(C:C, ROW(C186)+SheetTable02[[#This Row],[Column1]]-1)))</f>
        <v/>
      </c>
    </row>
    <row r="187" spans="1:8" ht="72">
      <c r="A187" s="1" t="s">
        <v>101</v>
      </c>
      <c r="B187" s="1" t="s">
        <v>102</v>
      </c>
      <c r="C187" s="1" t="s">
        <v>616</v>
      </c>
      <c r="D187" s="1"/>
      <c r="E187" s="1"/>
      <c r="F187" s="1"/>
      <c r="G187" s="7">
        <f>COUNTIF(SheetTable02[Focal Document
Element],A187)</f>
        <v>28</v>
      </c>
      <c r="H187" s="7" t="str">
        <f>IF(A187=A186,"",_xlfn.TEXTJOIN(", ", TRUE, C187:INDEX(C:C, ROW(C187)+SheetTable02[[#This Row],[Column1]]-1)))</f>
        <v/>
      </c>
    </row>
    <row r="188" spans="1:8" ht="72">
      <c r="A188" s="1" t="s">
        <v>101</v>
      </c>
      <c r="B188" s="1" t="s">
        <v>102</v>
      </c>
      <c r="C188" s="1" t="s">
        <v>615</v>
      </c>
      <c r="D188" s="1"/>
      <c r="E188" s="1"/>
      <c r="F188" s="1"/>
      <c r="G188" s="7">
        <f>COUNTIF(SheetTable02[Focal Document
Element],A188)</f>
        <v>28</v>
      </c>
      <c r="H188" s="7" t="str">
        <f>IF(A188=A187,"",_xlfn.TEXTJOIN(", ", TRUE, C188:INDEX(C:C, ROW(C188)+SheetTable02[[#This Row],[Column1]]-1)))</f>
        <v/>
      </c>
    </row>
    <row r="189" spans="1:8" ht="72">
      <c r="A189" s="1" t="s">
        <v>101</v>
      </c>
      <c r="B189" s="1" t="s">
        <v>102</v>
      </c>
      <c r="C189" s="1" t="s">
        <v>614</v>
      </c>
      <c r="D189" s="1"/>
      <c r="E189" s="1"/>
      <c r="F189" s="1"/>
      <c r="G189" s="7">
        <f>COUNTIF(SheetTable02[Focal Document
Element],A189)</f>
        <v>28</v>
      </c>
      <c r="H189" s="7" t="str">
        <f>IF(A189=A188,"",_xlfn.TEXTJOIN(", ", TRUE, C189:INDEX(C:C, ROW(C189)+SheetTable02[[#This Row],[Column1]]-1)))</f>
        <v/>
      </c>
    </row>
    <row r="190" spans="1:8" ht="72">
      <c r="A190" s="1" t="s">
        <v>101</v>
      </c>
      <c r="B190" s="1" t="s">
        <v>102</v>
      </c>
      <c r="C190" s="1" t="s">
        <v>613</v>
      </c>
      <c r="D190" s="1"/>
      <c r="E190" s="1"/>
      <c r="F190" s="1"/>
      <c r="G190" s="7">
        <f>COUNTIF(SheetTable02[Focal Document
Element],A190)</f>
        <v>28</v>
      </c>
      <c r="H190" s="7" t="str">
        <f>IF(A190=A189,"",_xlfn.TEXTJOIN(", ", TRUE, C190:INDEX(C:C, ROW(C190)+SheetTable02[[#This Row],[Column1]]-1)))</f>
        <v/>
      </c>
    </row>
    <row r="191" spans="1:8" ht="72">
      <c r="A191" s="1" t="s">
        <v>101</v>
      </c>
      <c r="B191" s="1" t="s">
        <v>102</v>
      </c>
      <c r="C191" s="1" t="s">
        <v>612</v>
      </c>
      <c r="D191" s="1"/>
      <c r="E191" s="1"/>
      <c r="F191" s="1"/>
      <c r="G191" s="7">
        <f>COUNTIF(SheetTable02[Focal Document
Element],A191)</f>
        <v>28</v>
      </c>
      <c r="H191" s="7" t="str">
        <f>IF(A191=A190,"",_xlfn.TEXTJOIN(", ", TRUE, C191:INDEX(C:C, ROW(C191)+SheetTable02[[#This Row],[Column1]]-1)))</f>
        <v/>
      </c>
    </row>
    <row r="192" spans="1:8" ht="72">
      <c r="A192" s="1" t="s">
        <v>101</v>
      </c>
      <c r="B192" s="1" t="s">
        <v>102</v>
      </c>
      <c r="C192" s="1" t="s">
        <v>611</v>
      </c>
      <c r="D192" s="1"/>
      <c r="E192" s="1"/>
      <c r="F192" s="1"/>
      <c r="G192" s="7">
        <f>COUNTIF(SheetTable02[Focal Document
Element],A192)</f>
        <v>28</v>
      </c>
      <c r="H192" s="7" t="str">
        <f>IF(A192=A191,"",_xlfn.TEXTJOIN(", ", TRUE, C192:INDEX(C:C, ROW(C192)+SheetTable02[[#This Row],[Column1]]-1)))</f>
        <v/>
      </c>
    </row>
    <row r="193" spans="1:8" ht="72">
      <c r="A193" s="1" t="s">
        <v>101</v>
      </c>
      <c r="B193" s="1" t="s">
        <v>102</v>
      </c>
      <c r="C193" s="1" t="s">
        <v>426</v>
      </c>
      <c r="D193" s="1"/>
      <c r="E193" s="1"/>
      <c r="F193" s="1"/>
      <c r="G193" s="7">
        <f>COUNTIF(SheetTable02[Focal Document
Element],A193)</f>
        <v>28</v>
      </c>
      <c r="H193" s="7" t="str">
        <f>IF(A193=A192,"",_xlfn.TEXTJOIN(", ", TRUE, C193:INDEX(C:C, ROW(C193)+SheetTable02[[#This Row],[Column1]]-1)))</f>
        <v/>
      </c>
    </row>
    <row r="194" spans="1:8" ht="72">
      <c r="A194" s="1" t="s">
        <v>101</v>
      </c>
      <c r="B194" s="1" t="s">
        <v>102</v>
      </c>
      <c r="C194" s="1" t="s">
        <v>460</v>
      </c>
      <c r="D194" s="1"/>
      <c r="E194" s="1"/>
      <c r="F194" s="1"/>
      <c r="G194" s="7">
        <f>COUNTIF(SheetTable02[Focal Document
Element],A194)</f>
        <v>28</v>
      </c>
      <c r="H194" s="7" t="str">
        <f>IF(A194=A193,"",_xlfn.TEXTJOIN(", ", TRUE, C194:INDEX(C:C, ROW(C194)+SheetTable02[[#This Row],[Column1]]-1)))</f>
        <v/>
      </c>
    </row>
    <row r="195" spans="1:8" ht="72">
      <c r="A195" s="1" t="s">
        <v>101</v>
      </c>
      <c r="B195" s="1" t="s">
        <v>102</v>
      </c>
      <c r="C195" s="1" t="s">
        <v>458</v>
      </c>
      <c r="D195" s="1"/>
      <c r="E195" s="1"/>
      <c r="F195" s="1"/>
      <c r="G195" s="7">
        <f>COUNTIF(SheetTable02[Focal Document
Element],A195)</f>
        <v>28</v>
      </c>
      <c r="H195" s="7" t="str">
        <f>IF(A195=A194,"",_xlfn.TEXTJOIN(", ", TRUE, C195:INDEX(C:C, ROW(C195)+SheetTable02[[#This Row],[Column1]]-1)))</f>
        <v/>
      </c>
    </row>
    <row r="196" spans="1:8" ht="72">
      <c r="A196" s="1" t="s">
        <v>101</v>
      </c>
      <c r="B196" s="1" t="s">
        <v>102</v>
      </c>
      <c r="C196" s="1" t="s">
        <v>606</v>
      </c>
      <c r="D196" s="1"/>
      <c r="E196" s="1"/>
      <c r="F196" s="1"/>
      <c r="G196" s="7">
        <f>COUNTIF(SheetTable02[Focal Document
Element],A196)</f>
        <v>28</v>
      </c>
      <c r="H196" s="7" t="str">
        <f>IF(A196=A195,"",_xlfn.TEXTJOIN(", ", TRUE, C196:INDEX(C:C, ROW(C196)+SheetTable02[[#This Row],[Column1]]-1)))</f>
        <v/>
      </c>
    </row>
    <row r="197" spans="1:8" ht="72">
      <c r="A197" s="1" t="s">
        <v>101</v>
      </c>
      <c r="B197" s="1" t="s">
        <v>102</v>
      </c>
      <c r="C197" s="1" t="s">
        <v>601</v>
      </c>
      <c r="D197" s="1"/>
      <c r="E197" s="1"/>
      <c r="F197" s="1"/>
      <c r="G197" s="7">
        <f>COUNTIF(SheetTable02[Focal Document
Element],A197)</f>
        <v>28</v>
      </c>
      <c r="H197" s="7" t="str">
        <f>IF(A197=A196,"",_xlfn.TEXTJOIN(", ", TRUE, C197:INDEX(C:C, ROW(C197)+SheetTable02[[#This Row],[Column1]]-1)))</f>
        <v/>
      </c>
    </row>
    <row r="198" spans="1:8" ht="72">
      <c r="A198" s="1" t="s">
        <v>101</v>
      </c>
      <c r="B198" s="1" t="s">
        <v>102</v>
      </c>
      <c r="C198" s="1" t="s">
        <v>437</v>
      </c>
      <c r="D198" s="1"/>
      <c r="E198" s="1"/>
      <c r="F198" s="1"/>
      <c r="G198" s="7">
        <f>COUNTIF(SheetTable02[Focal Document
Element],A198)</f>
        <v>28</v>
      </c>
      <c r="H198" s="7" t="str">
        <f>IF(A198=A197,"",_xlfn.TEXTJOIN(", ", TRUE, C198:INDEX(C:C, ROW(C198)+SheetTable02[[#This Row],[Column1]]-1)))</f>
        <v/>
      </c>
    </row>
    <row r="199" spans="1:8" ht="72">
      <c r="A199" s="1" t="s">
        <v>101</v>
      </c>
      <c r="B199" s="1" t="s">
        <v>102</v>
      </c>
      <c r="C199" s="1" t="s">
        <v>442</v>
      </c>
      <c r="D199" s="1"/>
      <c r="E199" s="1"/>
      <c r="F199" s="1"/>
      <c r="G199" s="7">
        <f>COUNTIF(SheetTable02[Focal Document
Element],A199)</f>
        <v>28</v>
      </c>
      <c r="H199" s="7" t="str">
        <f>IF(A199=A198,"",_xlfn.TEXTJOIN(", ", TRUE, C199:INDEX(C:C, ROW(C199)+SheetTable02[[#This Row],[Column1]]-1)))</f>
        <v/>
      </c>
    </row>
    <row r="200" spans="1:8" ht="72">
      <c r="A200" s="1" t="s">
        <v>101</v>
      </c>
      <c r="B200" s="1" t="s">
        <v>102</v>
      </c>
      <c r="C200" s="1" t="s">
        <v>441</v>
      </c>
      <c r="D200" s="1"/>
      <c r="E200" s="1"/>
      <c r="F200" s="1"/>
      <c r="G200" s="7">
        <f>COUNTIF(SheetTable02[Focal Document
Element],A200)</f>
        <v>28</v>
      </c>
      <c r="H200" s="7" t="str">
        <f>IF(A200=A199,"",_xlfn.TEXTJOIN(", ", TRUE, C200:INDEX(C:C, ROW(C200)+SheetTable02[[#This Row],[Column1]]-1)))</f>
        <v/>
      </c>
    </row>
    <row r="201" spans="1:8" ht="28.8">
      <c r="A201" s="1" t="s">
        <v>104</v>
      </c>
      <c r="B201" s="1" t="s">
        <v>105</v>
      </c>
      <c r="C201" s="1" t="s">
        <v>674</v>
      </c>
      <c r="D201" s="1"/>
      <c r="E201" s="1"/>
      <c r="F201" s="1"/>
      <c r="G201" s="7">
        <f>COUNTIF(SheetTable02[Focal Document
Element],A201)</f>
        <v>3</v>
      </c>
      <c r="H201" s="7" t="str">
        <f>IF(A201=A200,"",_xlfn.TEXTJOIN(", ", TRUE, C201:INDEX(C:C, ROW(C201)+SheetTable02[[#This Row],[Column1]]-1)))</f>
        <v>RA-09
, SA-09, SR-06</v>
      </c>
    </row>
    <row r="202" spans="1:8" ht="28.8">
      <c r="A202" s="1" t="s">
        <v>104</v>
      </c>
      <c r="B202" s="1" t="s">
        <v>105</v>
      </c>
      <c r="C202" s="1" t="s">
        <v>476</v>
      </c>
      <c r="D202" s="1"/>
      <c r="E202" s="1"/>
      <c r="F202" s="1"/>
      <c r="G202" s="7">
        <f>COUNTIF(SheetTable02[Focal Document
Element],A202)</f>
        <v>3</v>
      </c>
      <c r="H202" s="7" t="str">
        <f>IF(A202=A201,"",_xlfn.TEXTJOIN(", ", TRUE, C202:INDEX(C:C, ROW(C202)+SheetTable02[[#This Row],[Column1]]-1)))</f>
        <v/>
      </c>
    </row>
    <row r="203" spans="1:8" ht="28.8">
      <c r="A203" s="1" t="s">
        <v>104</v>
      </c>
      <c r="B203" s="1" t="s">
        <v>105</v>
      </c>
      <c r="C203" s="1" t="s">
        <v>631</v>
      </c>
      <c r="D203" s="1"/>
      <c r="E203" s="1"/>
      <c r="F203" s="1"/>
      <c r="G203" s="7">
        <f>COUNTIF(SheetTable02[Focal Document
Element],A203)</f>
        <v>3</v>
      </c>
      <c r="H203" s="7" t="str">
        <f>IF(A203=A202,"",_xlfn.TEXTJOIN(", ", TRUE, C203:INDEX(C:C, ROW(C203)+SheetTable02[[#This Row],[Column1]]-1)))</f>
        <v/>
      </c>
    </row>
    <row r="204" spans="1:8" ht="86.4">
      <c r="A204" s="1" t="s">
        <v>107</v>
      </c>
      <c r="B204" s="1" t="s">
        <v>109</v>
      </c>
      <c r="C204" s="1" t="s">
        <v>673</v>
      </c>
      <c r="D204" s="1"/>
      <c r="E204" s="1"/>
      <c r="F204" s="1"/>
      <c r="G204" s="7">
        <f>COUNTIF(SheetTable02[Focal Document
Element],A204)</f>
        <v>6</v>
      </c>
      <c r="H204" s="7" t="str">
        <f>IF(A204=A203,"",_xlfn.TEXTJOIN(", ", TRUE, C204:INDEX(C:C, ROW(C204)+SheetTable02[[#This Row],[Column1]]-1)))</f>
        <v>SA-04
, SA-09, SR-03, SR-05, SR-06, SR-10</v>
      </c>
    </row>
    <row r="205" spans="1:8" ht="86.4">
      <c r="A205" s="1" t="s">
        <v>107</v>
      </c>
      <c r="B205" s="1" t="s">
        <v>109</v>
      </c>
      <c r="C205" s="1" t="s">
        <v>476</v>
      </c>
      <c r="D205" s="1"/>
      <c r="E205" s="1"/>
      <c r="F205" s="1"/>
      <c r="G205" s="7">
        <f>COUNTIF(SheetTable02[Focal Document
Element],A205)</f>
        <v>6</v>
      </c>
      <c r="H205" s="7" t="str">
        <f>IF(A205=A204,"",_xlfn.TEXTJOIN(", ", TRUE, C205:INDEX(C:C, ROW(C205)+SheetTable02[[#This Row],[Column1]]-1)))</f>
        <v/>
      </c>
    </row>
    <row r="206" spans="1:8" ht="86.4">
      <c r="A206" s="1" t="s">
        <v>107</v>
      </c>
      <c r="B206" s="1" t="s">
        <v>109</v>
      </c>
      <c r="C206" s="1" t="s">
        <v>437</v>
      </c>
      <c r="D206" s="1"/>
      <c r="E206" s="1"/>
      <c r="F206" s="1"/>
      <c r="G206" s="7">
        <f>COUNTIF(SheetTable02[Focal Document
Element],A206)</f>
        <v>6</v>
      </c>
      <c r="H206" s="7" t="str">
        <f>IF(A206=A205,"",_xlfn.TEXTJOIN(", ", TRUE, C206:INDEX(C:C, ROW(C206)+SheetTable02[[#This Row],[Column1]]-1)))</f>
        <v/>
      </c>
    </row>
    <row r="207" spans="1:8" ht="86.4">
      <c r="A207" s="1" t="s">
        <v>107</v>
      </c>
      <c r="B207" s="1" t="s">
        <v>109</v>
      </c>
      <c r="C207" s="1" t="s">
        <v>604</v>
      </c>
      <c r="D207" s="1"/>
      <c r="E207" s="1"/>
      <c r="F207" s="1"/>
      <c r="G207" s="7">
        <f>COUNTIF(SheetTable02[Focal Document
Element],A207)</f>
        <v>6</v>
      </c>
      <c r="H207" s="7" t="str">
        <f>IF(A207=A206,"",_xlfn.TEXTJOIN(", ", TRUE, C207:INDEX(C:C, ROW(C207)+SheetTable02[[#This Row],[Column1]]-1)))</f>
        <v/>
      </c>
    </row>
    <row r="208" spans="1:8" ht="86.4">
      <c r="A208" s="1" t="s">
        <v>107</v>
      </c>
      <c r="B208" s="1" t="s">
        <v>109</v>
      </c>
      <c r="C208" s="1" t="s">
        <v>631</v>
      </c>
      <c r="D208" s="1"/>
      <c r="E208" s="1"/>
      <c r="F208" s="1"/>
      <c r="G208" s="7">
        <f>COUNTIF(SheetTable02[Focal Document
Element],A208)</f>
        <v>6</v>
      </c>
      <c r="H208" s="7" t="str">
        <f>IF(A208=A207,"",_xlfn.TEXTJOIN(", ", TRUE, C208:INDEX(C:C, ROW(C208)+SheetTable02[[#This Row],[Column1]]-1)))</f>
        <v/>
      </c>
    </row>
    <row r="209" spans="1:8" ht="86.4">
      <c r="A209" s="1" t="s">
        <v>107</v>
      </c>
      <c r="B209" s="1" t="s">
        <v>109</v>
      </c>
      <c r="C209" s="1" t="s">
        <v>633</v>
      </c>
      <c r="D209" s="1"/>
      <c r="E209" s="1"/>
      <c r="F209" s="1"/>
      <c r="G209" s="7">
        <f>COUNTIF(SheetTable02[Focal Document
Element],A209)</f>
        <v>6</v>
      </c>
      <c r="H209" s="7" t="str">
        <f>IF(A209=A208,"",_xlfn.TEXTJOIN(", ", TRUE, C209:INDEX(C:C, ROW(C209)+SheetTable02[[#This Row],[Column1]]-1)))</f>
        <v/>
      </c>
    </row>
    <row r="210" spans="1:8" ht="57.6">
      <c r="A210" s="1" t="s">
        <v>111</v>
      </c>
      <c r="B210" s="1" t="s">
        <v>112</v>
      </c>
      <c r="C210" s="1" t="s">
        <v>673</v>
      </c>
      <c r="D210" s="1"/>
      <c r="E210" s="1"/>
      <c r="F210" s="1"/>
      <c r="G210" s="7">
        <f>COUNTIF(SheetTable02[Focal Document
Element],A210)</f>
        <v>4</v>
      </c>
      <c r="H210" s="7" t="str">
        <f>IF(A210=A209,"",_xlfn.TEXTJOIN(", ", TRUE, C210:INDEX(C:C, ROW(C210)+SheetTable02[[#This Row],[Column1]]-1)))</f>
        <v>SA-04
, SA-09, SR-05, SR-06</v>
      </c>
    </row>
    <row r="211" spans="1:8" ht="57.6">
      <c r="A211" s="1" t="s">
        <v>111</v>
      </c>
      <c r="B211" s="1" t="s">
        <v>112</v>
      </c>
      <c r="C211" s="1" t="s">
        <v>476</v>
      </c>
      <c r="D211" s="1"/>
      <c r="E211" s="1"/>
      <c r="F211" s="1"/>
      <c r="G211" s="7">
        <f>COUNTIF(SheetTable02[Focal Document
Element],A211)</f>
        <v>4</v>
      </c>
      <c r="H211" s="7" t="str">
        <f>IF(A211=A210,"",_xlfn.TEXTJOIN(", ", TRUE, C211:INDEX(C:C, ROW(C211)+SheetTable02[[#This Row],[Column1]]-1)))</f>
        <v/>
      </c>
    </row>
    <row r="212" spans="1:8" ht="57.6">
      <c r="A212" s="1" t="s">
        <v>111</v>
      </c>
      <c r="B212" s="1" t="s">
        <v>112</v>
      </c>
      <c r="C212" s="1" t="s">
        <v>604</v>
      </c>
      <c r="D212" s="1"/>
      <c r="E212" s="1"/>
      <c r="F212" s="1"/>
      <c r="G212" s="7">
        <f>COUNTIF(SheetTable02[Focal Document
Element],A212)</f>
        <v>4</v>
      </c>
      <c r="H212" s="7" t="str">
        <f>IF(A212=A211,"",_xlfn.TEXTJOIN(", ", TRUE, C212:INDEX(C:C, ROW(C212)+SheetTable02[[#This Row],[Column1]]-1)))</f>
        <v/>
      </c>
    </row>
    <row r="213" spans="1:8" ht="57.6">
      <c r="A213" s="1" t="s">
        <v>111</v>
      </c>
      <c r="B213" s="1" t="s">
        <v>112</v>
      </c>
      <c r="C213" s="1" t="s">
        <v>631</v>
      </c>
      <c r="D213" s="1"/>
      <c r="E213" s="1"/>
      <c r="F213" s="1"/>
      <c r="G213" s="7">
        <f>COUNTIF(SheetTable02[Focal Document
Element],A213)</f>
        <v>4</v>
      </c>
      <c r="H213" s="7" t="str">
        <f>IF(A213=A212,"",_xlfn.TEXTJOIN(", ", TRUE, C213:INDEX(C:C, ROW(C213)+SheetTable02[[#This Row],[Column1]]-1)))</f>
        <v/>
      </c>
    </row>
    <row r="214" spans="1:8" ht="86.4">
      <c r="A214" s="1" t="s">
        <v>114</v>
      </c>
      <c r="B214" s="1" t="s">
        <v>115</v>
      </c>
      <c r="C214" s="1" t="s">
        <v>674</v>
      </c>
      <c r="D214" s="1"/>
      <c r="E214" s="1"/>
      <c r="F214" s="1"/>
      <c r="G214" s="7">
        <f>COUNTIF(SheetTable02[Focal Document
Element],A214)</f>
        <v>5</v>
      </c>
      <c r="H214" s="7" t="str">
        <f>IF(A214=A213,"",_xlfn.TEXTJOIN(", ", TRUE, C214:INDEX(C:C, ROW(C214)+SheetTable02[[#This Row],[Column1]]-1)))</f>
        <v>RA-09
, SA-04, SA-09, SR-03, SR-06</v>
      </c>
    </row>
    <row r="215" spans="1:8" ht="86.4">
      <c r="A215" s="1" t="s">
        <v>114</v>
      </c>
      <c r="B215" s="1" t="s">
        <v>115</v>
      </c>
      <c r="C215" s="1" t="s">
        <v>477</v>
      </c>
      <c r="D215" s="1"/>
      <c r="E215" s="1"/>
      <c r="F215" s="1"/>
      <c r="G215" s="7">
        <f>COUNTIF(SheetTable02[Focal Document
Element],A215)</f>
        <v>5</v>
      </c>
      <c r="H215" s="7" t="str">
        <f>IF(A215=A214,"",_xlfn.TEXTJOIN(", ", TRUE, C215:INDEX(C:C, ROW(C215)+SheetTable02[[#This Row],[Column1]]-1)))</f>
        <v/>
      </c>
    </row>
    <row r="216" spans="1:8" ht="86.4">
      <c r="A216" s="1" t="s">
        <v>114</v>
      </c>
      <c r="B216" s="1" t="s">
        <v>115</v>
      </c>
      <c r="C216" s="1" t="s">
        <v>476</v>
      </c>
      <c r="D216" s="1"/>
      <c r="E216" s="1"/>
      <c r="F216" s="1"/>
      <c r="G216" s="7">
        <f>COUNTIF(SheetTable02[Focal Document
Element],A216)</f>
        <v>5</v>
      </c>
      <c r="H216" s="7" t="str">
        <f>IF(A216=A215,"",_xlfn.TEXTJOIN(", ", TRUE, C216:INDEX(C:C, ROW(C216)+SheetTable02[[#This Row],[Column1]]-1)))</f>
        <v/>
      </c>
    </row>
    <row r="217" spans="1:8" ht="86.4">
      <c r="A217" s="1" t="s">
        <v>114</v>
      </c>
      <c r="B217" s="1" t="s">
        <v>115</v>
      </c>
      <c r="C217" s="1" t="s">
        <v>437</v>
      </c>
      <c r="D217" s="1"/>
      <c r="E217" s="1"/>
      <c r="F217" s="1"/>
      <c r="G217" s="7">
        <f>COUNTIF(SheetTable02[Focal Document
Element],A217)</f>
        <v>5</v>
      </c>
      <c r="H217" s="7" t="str">
        <f>IF(A217=A216,"",_xlfn.TEXTJOIN(", ", TRUE, C217:INDEX(C:C, ROW(C217)+SheetTable02[[#This Row],[Column1]]-1)))</f>
        <v/>
      </c>
    </row>
    <row r="218" spans="1:8" ht="86.4">
      <c r="A218" s="1" t="s">
        <v>114</v>
      </c>
      <c r="B218" s="1" t="s">
        <v>115</v>
      </c>
      <c r="C218" s="1" t="s">
        <v>631</v>
      </c>
      <c r="D218" s="1"/>
      <c r="E218" s="1"/>
      <c r="F218" s="1"/>
      <c r="G218" s="7">
        <f>COUNTIF(SheetTable02[Focal Document
Element],A218)</f>
        <v>5</v>
      </c>
      <c r="H218" s="7" t="str">
        <f>IF(A218=A217,"",_xlfn.TEXTJOIN(", ", TRUE, C218:INDEX(C:C, ROW(C218)+SheetTable02[[#This Row],[Column1]]-1)))</f>
        <v/>
      </c>
    </row>
    <row r="219" spans="1:8" ht="43.2">
      <c r="A219" s="1" t="s">
        <v>117</v>
      </c>
      <c r="B219" s="1" t="s">
        <v>119</v>
      </c>
      <c r="C219" s="1" t="s">
        <v>673</v>
      </c>
      <c r="D219" s="1"/>
      <c r="E219" s="1"/>
      <c r="F219" s="1"/>
      <c r="G219" s="7">
        <f>COUNTIF(SheetTable02[Focal Document
Element],A219)</f>
        <v>7</v>
      </c>
      <c r="H219" s="7" t="str">
        <f>IF(A219=A218,"",_xlfn.TEXTJOIN(", ", TRUE, C219:INDEX(C:C, ROW(C219)+SheetTable02[[#This Row],[Column1]]-1)))</f>
        <v>SA-04
, SA-09, SR-02, SR-03, SR-08, CP-01, IR-01</v>
      </c>
    </row>
    <row r="220" spans="1:8" ht="43.2">
      <c r="A220" s="1" t="s">
        <v>117</v>
      </c>
      <c r="B220" s="1" t="s">
        <v>119</v>
      </c>
      <c r="C220" s="1" t="s">
        <v>476</v>
      </c>
      <c r="D220" s="1"/>
      <c r="E220" s="1"/>
      <c r="F220" s="1"/>
      <c r="G220" s="7">
        <f>COUNTIF(SheetTable02[Focal Document
Element],A220)</f>
        <v>7</v>
      </c>
      <c r="H220" s="7" t="str">
        <f>IF(A220=A219,"",_xlfn.TEXTJOIN(", ", TRUE, C220:INDEX(C:C, ROW(C220)+SheetTable02[[#This Row],[Column1]]-1)))</f>
        <v/>
      </c>
    </row>
    <row r="221" spans="1:8" ht="43.2">
      <c r="A221" s="1" t="s">
        <v>117</v>
      </c>
      <c r="B221" s="1" t="s">
        <v>119</v>
      </c>
      <c r="C221" s="1" t="s">
        <v>601</v>
      </c>
      <c r="D221" s="1"/>
      <c r="E221" s="1"/>
      <c r="F221" s="1"/>
      <c r="G221" s="7">
        <f>COUNTIF(SheetTable02[Focal Document
Element],A221)</f>
        <v>7</v>
      </c>
      <c r="H221" s="7" t="str">
        <f>IF(A221=A220,"",_xlfn.TEXTJOIN(", ", TRUE, C221:INDEX(C:C, ROW(C221)+SheetTable02[[#This Row],[Column1]]-1)))</f>
        <v/>
      </c>
    </row>
    <row r="222" spans="1:8" ht="43.2">
      <c r="A222" s="1" t="s">
        <v>117</v>
      </c>
      <c r="B222" s="1" t="s">
        <v>119</v>
      </c>
      <c r="C222" s="1" t="s">
        <v>437</v>
      </c>
      <c r="D222" s="1"/>
      <c r="E222" s="1"/>
      <c r="F222" s="1"/>
      <c r="G222" s="7">
        <f>COUNTIF(SheetTable02[Focal Document
Element],A222)</f>
        <v>7</v>
      </c>
      <c r="H222" s="7" t="str">
        <f>IF(A222=A221,"",_xlfn.TEXTJOIN(", ", TRUE, C222:INDEX(C:C, ROW(C222)+SheetTable02[[#This Row],[Column1]]-1)))</f>
        <v/>
      </c>
    </row>
    <row r="223" spans="1:8" ht="43.2">
      <c r="A223" s="1" t="s">
        <v>117</v>
      </c>
      <c r="B223" s="1" t="s">
        <v>119</v>
      </c>
      <c r="C223" s="1" t="s">
        <v>418</v>
      </c>
      <c r="D223" s="1"/>
      <c r="E223" s="1"/>
      <c r="F223" s="1"/>
      <c r="G223" s="7">
        <f>COUNTIF(SheetTable02[Focal Document
Element],A223)</f>
        <v>7</v>
      </c>
      <c r="H223" s="7" t="str">
        <f>IF(A223=A222,"",_xlfn.TEXTJOIN(", ", TRUE, C223:INDEX(C:C, ROW(C223)+SheetTable02[[#This Row],[Column1]]-1)))</f>
        <v/>
      </c>
    </row>
    <row r="224" spans="1:8" ht="43.2">
      <c r="A224" s="1" t="s">
        <v>117</v>
      </c>
      <c r="B224" s="1" t="s">
        <v>119</v>
      </c>
      <c r="C224" s="1" t="s">
        <v>623</v>
      </c>
      <c r="D224" s="1"/>
      <c r="E224" s="1"/>
      <c r="F224" s="1"/>
      <c r="G224" s="7">
        <f>COUNTIF(SheetTable02[Focal Document
Element],A224)</f>
        <v>7</v>
      </c>
      <c r="H224" s="7" t="str">
        <f>IF(A224=A223,"",_xlfn.TEXTJOIN(", ", TRUE, C224:INDEX(C:C, ROW(C224)+SheetTable02[[#This Row],[Column1]]-1)))</f>
        <v/>
      </c>
    </row>
    <row r="225" spans="1:8" ht="43.2">
      <c r="A225" s="1" t="s">
        <v>117</v>
      </c>
      <c r="B225" s="1" t="s">
        <v>119</v>
      </c>
      <c r="C225" s="1" t="s">
        <v>424</v>
      </c>
      <c r="D225" s="1"/>
      <c r="E225" s="1"/>
      <c r="F225" s="1"/>
      <c r="G225" s="7">
        <f>COUNTIF(SheetTable02[Focal Document
Element],A225)</f>
        <v>7</v>
      </c>
      <c r="H225" s="7" t="str">
        <f>IF(A225=A224,"",_xlfn.TEXTJOIN(", ", TRUE, C225:INDEX(C:C, ROW(C225)+SheetTable02[[#This Row],[Column1]]-1)))</f>
        <v/>
      </c>
    </row>
    <row r="226" spans="1:8" ht="86.4">
      <c r="A226" s="1" t="s">
        <v>121</v>
      </c>
      <c r="B226" s="1" t="s">
        <v>122</v>
      </c>
      <c r="C226" s="1" t="s">
        <v>636</v>
      </c>
      <c r="D226" s="1"/>
      <c r="E226" s="1"/>
      <c r="F226" s="1"/>
      <c r="G226" s="7">
        <f>COUNTIF(SheetTable02[Focal Document
Element],A226)</f>
        <v>13</v>
      </c>
      <c r="H226" s="7" t="str">
        <f>IF(A226=A225,"",_xlfn.TEXTJOIN(", ", TRUE, C226:INDEX(C:C, ROW(C226)+SheetTable02[[#This Row],[Column1]]-1)))</f>
        <v>PM-09
, PM-19, PM-28, PM-30, PM-31, RA-03, RA-07, SA-04, SA-09, SR-02, SR-03, SR-05, SR-06</v>
      </c>
    </row>
    <row r="227" spans="1:8" ht="86.4">
      <c r="A227" s="1" t="s">
        <v>121</v>
      </c>
      <c r="B227" s="1" t="s">
        <v>122</v>
      </c>
      <c r="C227" s="1" t="s">
        <v>672</v>
      </c>
      <c r="D227" s="1"/>
      <c r="E227" s="1"/>
      <c r="F227" s="1"/>
      <c r="G227" s="7">
        <f>COUNTIF(SheetTable02[Focal Document
Element],A227)</f>
        <v>13</v>
      </c>
      <c r="H227" s="7" t="str">
        <f>IF(A227=A226,"",_xlfn.TEXTJOIN(", ", TRUE, C227:INDEX(C:C, ROW(C227)+SheetTable02[[#This Row],[Column1]]-1)))</f>
        <v/>
      </c>
    </row>
    <row r="228" spans="1:8" ht="86.4">
      <c r="A228" s="1" t="s">
        <v>121</v>
      </c>
      <c r="B228" s="1" t="s">
        <v>122</v>
      </c>
      <c r="C228" s="1" t="s">
        <v>459</v>
      </c>
      <c r="D228" s="1"/>
      <c r="E228" s="1"/>
      <c r="F228" s="1"/>
      <c r="G228" s="7">
        <f>COUNTIF(SheetTable02[Focal Document
Element],A228)</f>
        <v>13</v>
      </c>
      <c r="H228" s="7" t="str">
        <f>IF(A228=A227,"",_xlfn.TEXTJOIN(", ", TRUE, C228:INDEX(C:C, ROW(C228)+SheetTable02[[#This Row],[Column1]]-1)))</f>
        <v/>
      </c>
    </row>
    <row r="229" spans="1:8" ht="86.4">
      <c r="A229" s="1" t="s">
        <v>121</v>
      </c>
      <c r="B229" s="1" t="s">
        <v>122</v>
      </c>
      <c r="C229" s="1" t="s">
        <v>458</v>
      </c>
      <c r="D229" s="1"/>
      <c r="E229" s="1"/>
      <c r="F229" s="1"/>
      <c r="G229" s="7">
        <f>COUNTIF(SheetTable02[Focal Document
Element],A229)</f>
        <v>13</v>
      </c>
      <c r="H229" s="7" t="str">
        <f>IF(A229=A228,"",_xlfn.TEXTJOIN(", ", TRUE, C229:INDEX(C:C, ROW(C229)+SheetTable02[[#This Row],[Column1]]-1)))</f>
        <v/>
      </c>
    </row>
    <row r="230" spans="1:8" ht="86.4">
      <c r="A230" s="1" t="s">
        <v>121</v>
      </c>
      <c r="B230" s="1" t="s">
        <v>122</v>
      </c>
      <c r="C230" s="1" t="s">
        <v>606</v>
      </c>
      <c r="D230" s="1"/>
      <c r="E230" s="1"/>
      <c r="F230" s="1"/>
      <c r="G230" s="7">
        <f>COUNTIF(SheetTable02[Focal Document
Element],A230)</f>
        <v>13</v>
      </c>
      <c r="H230" s="7" t="str">
        <f>IF(A230=A229,"",_xlfn.TEXTJOIN(", ", TRUE, C230:INDEX(C:C, ROW(C230)+SheetTable02[[#This Row],[Column1]]-1)))</f>
        <v/>
      </c>
    </row>
    <row r="231" spans="1:8" ht="86.4">
      <c r="A231" s="1" t="s">
        <v>121</v>
      </c>
      <c r="B231" s="1" t="s">
        <v>122</v>
      </c>
      <c r="C231" s="1" t="s">
        <v>442</v>
      </c>
      <c r="D231" s="1"/>
      <c r="E231" s="1"/>
      <c r="F231" s="1"/>
      <c r="G231" s="7">
        <f>COUNTIF(SheetTable02[Focal Document
Element],A231)</f>
        <v>13</v>
      </c>
      <c r="H231" s="7" t="str">
        <f>IF(A231=A230,"",_xlfn.TEXTJOIN(", ", TRUE, C231:INDEX(C:C, ROW(C231)+SheetTable02[[#This Row],[Column1]]-1)))</f>
        <v/>
      </c>
    </row>
    <row r="232" spans="1:8" ht="86.4">
      <c r="A232" s="1" t="s">
        <v>121</v>
      </c>
      <c r="B232" s="1" t="s">
        <v>122</v>
      </c>
      <c r="C232" s="1" t="s">
        <v>441</v>
      </c>
      <c r="D232" s="1"/>
      <c r="E232" s="1"/>
      <c r="F232" s="1"/>
      <c r="G232" s="7">
        <f>COUNTIF(SheetTable02[Focal Document
Element],A232)</f>
        <v>13</v>
      </c>
      <c r="H232" s="7" t="str">
        <f>IF(A232=A231,"",_xlfn.TEXTJOIN(", ", TRUE, C232:INDEX(C:C, ROW(C232)+SheetTable02[[#This Row],[Column1]]-1)))</f>
        <v/>
      </c>
    </row>
    <row r="233" spans="1:8" ht="86.4">
      <c r="A233" s="1" t="s">
        <v>121</v>
      </c>
      <c r="B233" s="1" t="s">
        <v>122</v>
      </c>
      <c r="C233" s="1" t="s">
        <v>477</v>
      </c>
      <c r="D233" s="1"/>
      <c r="E233" s="1"/>
      <c r="F233" s="1"/>
      <c r="G233" s="7">
        <f>COUNTIF(SheetTable02[Focal Document
Element],A233)</f>
        <v>13</v>
      </c>
      <c r="H233" s="7" t="str">
        <f>IF(A233=A232,"",_xlfn.TEXTJOIN(", ", TRUE, C233:INDEX(C:C, ROW(C233)+SheetTable02[[#This Row],[Column1]]-1)))</f>
        <v/>
      </c>
    </row>
    <row r="234" spans="1:8" ht="86.4">
      <c r="A234" s="1" t="s">
        <v>121</v>
      </c>
      <c r="B234" s="1" t="s">
        <v>122</v>
      </c>
      <c r="C234" s="1" t="s">
        <v>476</v>
      </c>
      <c r="D234" s="1"/>
      <c r="E234" s="1"/>
      <c r="F234" s="1"/>
      <c r="G234" s="7">
        <f>COUNTIF(SheetTable02[Focal Document
Element],A234)</f>
        <v>13</v>
      </c>
      <c r="H234" s="7" t="str">
        <f>IF(A234=A233,"",_xlfn.TEXTJOIN(", ", TRUE, C234:INDEX(C:C, ROW(C234)+SheetTable02[[#This Row],[Column1]]-1)))</f>
        <v/>
      </c>
    </row>
    <row r="235" spans="1:8" ht="86.4">
      <c r="A235" s="1" t="s">
        <v>121</v>
      </c>
      <c r="B235" s="1" t="s">
        <v>122</v>
      </c>
      <c r="C235" s="1" t="s">
        <v>601</v>
      </c>
      <c r="D235" s="1"/>
      <c r="E235" s="1"/>
      <c r="F235" s="1"/>
      <c r="G235" s="7">
        <f>COUNTIF(SheetTable02[Focal Document
Element],A235)</f>
        <v>13</v>
      </c>
      <c r="H235" s="7" t="str">
        <f>IF(A235=A234,"",_xlfn.TEXTJOIN(", ", TRUE, C235:INDEX(C:C, ROW(C235)+SheetTable02[[#This Row],[Column1]]-1)))</f>
        <v/>
      </c>
    </row>
    <row r="236" spans="1:8" ht="86.4">
      <c r="A236" s="1" t="s">
        <v>121</v>
      </c>
      <c r="B236" s="1" t="s">
        <v>122</v>
      </c>
      <c r="C236" s="1" t="s">
        <v>437</v>
      </c>
      <c r="D236" s="1"/>
      <c r="E236" s="1"/>
      <c r="F236" s="1"/>
      <c r="G236" s="7">
        <f>COUNTIF(SheetTable02[Focal Document
Element],A236)</f>
        <v>13</v>
      </c>
      <c r="H236" s="7" t="str">
        <f>IF(A236=A235,"",_xlfn.TEXTJOIN(", ", TRUE, C236:INDEX(C:C, ROW(C236)+SheetTable02[[#This Row],[Column1]]-1)))</f>
        <v/>
      </c>
    </row>
    <row r="237" spans="1:8" ht="86.4">
      <c r="A237" s="1" t="s">
        <v>121</v>
      </c>
      <c r="B237" s="1" t="s">
        <v>122</v>
      </c>
      <c r="C237" s="1" t="s">
        <v>604</v>
      </c>
      <c r="D237" s="1"/>
      <c r="E237" s="1"/>
      <c r="F237" s="1"/>
      <c r="G237" s="7">
        <f>COUNTIF(SheetTable02[Focal Document
Element],A237)</f>
        <v>13</v>
      </c>
      <c r="H237" s="7" t="str">
        <f>IF(A237=A236,"",_xlfn.TEXTJOIN(", ", TRUE, C237:INDEX(C:C, ROW(C237)+SheetTable02[[#This Row],[Column1]]-1)))</f>
        <v/>
      </c>
    </row>
    <row r="238" spans="1:8" ht="86.4">
      <c r="A238" s="1" t="s">
        <v>121</v>
      </c>
      <c r="B238" s="1" t="s">
        <v>122</v>
      </c>
      <c r="C238" s="1" t="s">
        <v>631</v>
      </c>
      <c r="D238" s="1"/>
      <c r="E238" s="1"/>
      <c r="F238" s="1"/>
      <c r="G238" s="7">
        <f>COUNTIF(SheetTable02[Focal Document
Element],A238)</f>
        <v>13</v>
      </c>
      <c r="H238" s="7" t="str">
        <f>IF(A238=A237,"",_xlfn.TEXTJOIN(", ", TRUE, C238:INDEX(C:C, ROW(C238)+SheetTable02[[#This Row],[Column1]]-1)))</f>
        <v/>
      </c>
    </row>
    <row r="239" spans="1:8" ht="72">
      <c r="A239" s="1" t="s">
        <v>124</v>
      </c>
      <c r="B239" s="1" t="s">
        <v>125</v>
      </c>
      <c r="C239" s="1" t="s">
        <v>671</v>
      </c>
      <c r="D239" s="1"/>
      <c r="E239" s="1"/>
      <c r="F239" s="1"/>
      <c r="G239" s="7">
        <f>COUNTIF(SheetTable02[Focal Document
Element],A239)</f>
        <v>10</v>
      </c>
      <c r="H239" s="7" t="str">
        <f>IF(A239=A238,"",_xlfn.TEXTJOIN(", ", TRUE, C239:INDEX(C:C, ROW(C239)+SheetTable02[[#This Row],[Column1]]-1)))</f>
        <v>PM-31
, RA-03, RA-05, RA-07, SA-04, SA-09, SR-02, SR-03, SR-05, SR-06</v>
      </c>
    </row>
    <row r="240" spans="1:8" ht="72">
      <c r="A240" s="1" t="s">
        <v>124</v>
      </c>
      <c r="B240" s="1" t="s">
        <v>125</v>
      </c>
      <c r="C240" s="1" t="s">
        <v>442</v>
      </c>
      <c r="D240" s="1"/>
      <c r="E240" s="1"/>
      <c r="F240" s="1"/>
      <c r="G240" s="7">
        <f>COUNTIF(SheetTable02[Focal Document
Element],A240)</f>
        <v>10</v>
      </c>
      <c r="H240" s="7" t="str">
        <f>IF(A240=A239,"",_xlfn.TEXTJOIN(", ", TRUE, C240:INDEX(C:C, ROW(C240)+SheetTable02[[#This Row],[Column1]]-1)))</f>
        <v/>
      </c>
    </row>
    <row r="241" spans="1:8" ht="72">
      <c r="A241" s="1" t="s">
        <v>124</v>
      </c>
      <c r="B241" s="1" t="s">
        <v>125</v>
      </c>
      <c r="C241" s="1" t="s">
        <v>605</v>
      </c>
      <c r="D241" s="1"/>
      <c r="E241" s="1"/>
      <c r="F241" s="1"/>
      <c r="G241" s="7">
        <f>COUNTIF(SheetTable02[Focal Document
Element],A241)</f>
        <v>10</v>
      </c>
      <c r="H241" s="7" t="str">
        <f>IF(A241=A240,"",_xlfn.TEXTJOIN(", ", TRUE, C241:INDEX(C:C, ROW(C241)+SheetTable02[[#This Row],[Column1]]-1)))</f>
        <v/>
      </c>
    </row>
    <row r="242" spans="1:8" ht="72">
      <c r="A242" s="1" t="s">
        <v>124</v>
      </c>
      <c r="B242" s="1" t="s">
        <v>125</v>
      </c>
      <c r="C242" s="1" t="s">
        <v>441</v>
      </c>
      <c r="D242" s="1"/>
      <c r="E242" s="1"/>
      <c r="F242" s="1"/>
      <c r="G242" s="7">
        <f>COUNTIF(SheetTable02[Focal Document
Element],A242)</f>
        <v>10</v>
      </c>
      <c r="H242" s="7" t="str">
        <f>IF(A242=A241,"",_xlfn.TEXTJOIN(", ", TRUE, C242:INDEX(C:C, ROW(C242)+SheetTable02[[#This Row],[Column1]]-1)))</f>
        <v/>
      </c>
    </row>
    <row r="243" spans="1:8" ht="72">
      <c r="A243" s="1" t="s">
        <v>124</v>
      </c>
      <c r="B243" s="1" t="s">
        <v>125</v>
      </c>
      <c r="C243" s="1" t="s">
        <v>477</v>
      </c>
      <c r="D243" s="1"/>
      <c r="E243" s="1"/>
      <c r="F243" s="1"/>
      <c r="G243" s="7">
        <f>COUNTIF(SheetTable02[Focal Document
Element],A243)</f>
        <v>10</v>
      </c>
      <c r="H243" s="7" t="str">
        <f>IF(A243=A242,"",_xlfn.TEXTJOIN(", ", TRUE, C243:INDEX(C:C, ROW(C243)+SheetTable02[[#This Row],[Column1]]-1)))</f>
        <v/>
      </c>
    </row>
    <row r="244" spans="1:8" ht="72">
      <c r="A244" s="1" t="s">
        <v>124</v>
      </c>
      <c r="B244" s="1" t="s">
        <v>125</v>
      </c>
      <c r="C244" s="1" t="s">
        <v>476</v>
      </c>
      <c r="D244" s="1"/>
      <c r="E244" s="1"/>
      <c r="F244" s="1"/>
      <c r="G244" s="7">
        <f>COUNTIF(SheetTable02[Focal Document
Element],A244)</f>
        <v>10</v>
      </c>
      <c r="H244" s="7" t="str">
        <f>IF(A244=A243,"",_xlfn.TEXTJOIN(", ", TRUE, C244:INDEX(C:C, ROW(C244)+SheetTable02[[#This Row],[Column1]]-1)))</f>
        <v/>
      </c>
    </row>
    <row r="245" spans="1:8" ht="72">
      <c r="A245" s="1" t="s">
        <v>124</v>
      </c>
      <c r="B245" s="1" t="s">
        <v>125</v>
      </c>
      <c r="C245" s="1" t="s">
        <v>601</v>
      </c>
      <c r="D245" s="1"/>
      <c r="E245" s="1"/>
      <c r="F245" s="1"/>
      <c r="G245" s="7">
        <f>COUNTIF(SheetTable02[Focal Document
Element],A245)</f>
        <v>10</v>
      </c>
      <c r="H245" s="7" t="str">
        <f>IF(A245=A244,"",_xlfn.TEXTJOIN(", ", TRUE, C245:INDEX(C:C, ROW(C245)+SheetTable02[[#This Row],[Column1]]-1)))</f>
        <v/>
      </c>
    </row>
    <row r="246" spans="1:8" ht="72">
      <c r="A246" s="1" t="s">
        <v>124</v>
      </c>
      <c r="B246" s="1" t="s">
        <v>125</v>
      </c>
      <c r="C246" s="1" t="s">
        <v>437</v>
      </c>
      <c r="D246" s="1"/>
      <c r="E246" s="1"/>
      <c r="F246" s="1"/>
      <c r="G246" s="7">
        <f>COUNTIF(SheetTable02[Focal Document
Element],A246)</f>
        <v>10</v>
      </c>
      <c r="H246" s="7" t="str">
        <f>IF(A246=A245,"",_xlfn.TEXTJOIN(", ", TRUE, C246:INDEX(C:C, ROW(C246)+SheetTable02[[#This Row],[Column1]]-1)))</f>
        <v/>
      </c>
    </row>
    <row r="247" spans="1:8" ht="72">
      <c r="A247" s="1" t="s">
        <v>124</v>
      </c>
      <c r="B247" s="1" t="s">
        <v>125</v>
      </c>
      <c r="C247" s="1" t="s">
        <v>604</v>
      </c>
      <c r="D247" s="1"/>
      <c r="E247" s="1"/>
      <c r="F247" s="1"/>
      <c r="G247" s="7">
        <f>COUNTIF(SheetTable02[Focal Document
Element],A247)</f>
        <v>10</v>
      </c>
      <c r="H247" s="7" t="str">
        <f>IF(A247=A246,"",_xlfn.TEXTJOIN(", ", TRUE, C247:INDEX(C:C, ROW(C247)+SheetTable02[[#This Row],[Column1]]-1)))</f>
        <v/>
      </c>
    </row>
    <row r="248" spans="1:8" ht="72">
      <c r="A248" s="1" t="s">
        <v>124</v>
      </c>
      <c r="B248" s="1" t="s">
        <v>125</v>
      </c>
      <c r="C248" s="1" t="s">
        <v>631</v>
      </c>
      <c r="D248" s="1"/>
      <c r="E248" s="1"/>
      <c r="F248" s="1"/>
      <c r="G248" s="7">
        <f>COUNTIF(SheetTable02[Focal Document
Element],A248)</f>
        <v>10</v>
      </c>
      <c r="H248" s="7" t="str">
        <f>IF(A248=A247,"",_xlfn.TEXTJOIN(", ", TRUE, C248:INDEX(C:C, ROW(C248)+SheetTable02[[#This Row],[Column1]]-1)))</f>
        <v/>
      </c>
    </row>
    <row r="249" spans="1:8" ht="28.8">
      <c r="A249" s="1" t="s">
        <v>670</v>
      </c>
      <c r="B249" s="1" t="s">
        <v>669</v>
      </c>
      <c r="C249" s="1"/>
      <c r="D249" s="1"/>
      <c r="E249" s="1"/>
      <c r="F249" s="1"/>
      <c r="G249" s="7">
        <f>COUNTIF(SheetTable02[Focal Document
Element],A249)</f>
        <v>1</v>
      </c>
      <c r="H249" s="7" t="str">
        <f>IF(A249=A248,"",_xlfn.TEXTJOIN(", ", TRUE, C249:INDEX(C:C, ROW(C249)+SheetTable02[[#This Row],[Column1]]-1)))</f>
        <v/>
      </c>
    </row>
    <row r="250" spans="1:8" ht="100.8">
      <c r="A250" s="1" t="s">
        <v>668</v>
      </c>
      <c r="B250" s="1" t="s">
        <v>667</v>
      </c>
      <c r="C250" s="2"/>
      <c r="D250" s="1"/>
      <c r="E250" s="1"/>
      <c r="F250" s="1"/>
      <c r="G250" s="7">
        <f>COUNTIF(SheetTable02[Focal Document
Element],A250)</f>
        <v>1</v>
      </c>
      <c r="H250" s="7" t="str">
        <f>IF(A250=A249,"",_xlfn.TEXTJOIN(", ", TRUE, C250:INDEX(C:C, ROW(C250)+SheetTable02[[#This Row],[Column1]]-1)))</f>
        <v/>
      </c>
    </row>
    <row r="251" spans="1:8" ht="28.8">
      <c r="A251" s="1" t="s">
        <v>127</v>
      </c>
      <c r="B251" s="1" t="s">
        <v>129</v>
      </c>
      <c r="C251" s="1" t="s">
        <v>666</v>
      </c>
      <c r="D251" s="1"/>
      <c r="E251" s="1"/>
      <c r="F251" s="1"/>
      <c r="G251" s="7">
        <f>COUNTIF(SheetTable02[Focal Document
Element],A251)</f>
        <v>2</v>
      </c>
      <c r="H251" s="7" t="str">
        <f>IF(A251=A250,"",_xlfn.TEXTJOIN(", ", TRUE, C251:INDEX(C:C, ROW(C251)+SheetTable02[[#This Row],[Column1]]-1)))</f>
        <v>CM-08
, PM-05</v>
      </c>
    </row>
    <row r="252" spans="1:8" ht="28.8">
      <c r="A252" s="1" t="s">
        <v>127</v>
      </c>
      <c r="B252" s="1" t="s">
        <v>129</v>
      </c>
      <c r="C252" s="1" t="s">
        <v>664</v>
      </c>
      <c r="D252" s="1"/>
      <c r="E252" s="1"/>
      <c r="F252" s="1"/>
      <c r="G252" s="7">
        <f>COUNTIF(SheetTable02[Focal Document
Element],A252)</f>
        <v>2</v>
      </c>
      <c r="H252" s="7" t="str">
        <f>IF(A252=A251,"",_xlfn.TEXTJOIN(", ", TRUE, C252:INDEX(C:C, ROW(C252)+SheetTable02[[#This Row],[Column1]]-1)))</f>
        <v/>
      </c>
    </row>
    <row r="253" spans="1:8" ht="43.2">
      <c r="A253" s="1" t="s">
        <v>131</v>
      </c>
      <c r="B253" s="1" t="s">
        <v>133</v>
      </c>
      <c r="C253" s="1" t="s">
        <v>665</v>
      </c>
      <c r="D253" s="1"/>
      <c r="E253" s="1"/>
      <c r="F253" s="1"/>
      <c r="G253" s="7">
        <f>COUNTIF(SheetTable02[Focal Document
Element],A253)</f>
        <v>5</v>
      </c>
      <c r="H253" s="7" t="str">
        <f>IF(A253=A252,"",_xlfn.TEXTJOIN(", ", TRUE, C253:INDEX(C:C, ROW(C253)+SheetTable02[[#This Row],[Column1]]-1)))</f>
        <v>AC-20
, CM-08, PM-05, SA-05, SA-09</v>
      </c>
    </row>
    <row r="254" spans="1:8" ht="43.2">
      <c r="A254" s="1" t="s">
        <v>131</v>
      </c>
      <c r="B254" s="1" t="s">
        <v>133</v>
      </c>
      <c r="C254" s="1" t="s">
        <v>536</v>
      </c>
      <c r="D254" s="1"/>
      <c r="E254" s="1"/>
      <c r="F254" s="1"/>
      <c r="G254" s="7">
        <f>COUNTIF(SheetTable02[Focal Document
Element],A254)</f>
        <v>5</v>
      </c>
      <c r="H254" s="7" t="str">
        <f>IF(A254=A253,"",_xlfn.TEXTJOIN(", ", TRUE, C254:INDEX(C:C, ROW(C254)+SheetTable02[[#This Row],[Column1]]-1)))</f>
        <v/>
      </c>
    </row>
    <row r="255" spans="1:8" ht="43.2">
      <c r="A255" s="1" t="s">
        <v>131</v>
      </c>
      <c r="B255" s="1" t="s">
        <v>133</v>
      </c>
      <c r="C255" s="1" t="s">
        <v>664</v>
      </c>
      <c r="D255" s="1"/>
      <c r="E255" s="1"/>
      <c r="F255" s="1"/>
      <c r="G255" s="7">
        <f>COUNTIF(SheetTable02[Focal Document
Element],A255)</f>
        <v>5</v>
      </c>
      <c r="H255" s="7" t="str">
        <f>IF(A255=A254,"",_xlfn.TEXTJOIN(", ", TRUE, C255:INDEX(C:C, ROW(C255)+SheetTable02[[#This Row],[Column1]]-1)))</f>
        <v/>
      </c>
    </row>
    <row r="256" spans="1:8" ht="43.2">
      <c r="A256" s="1" t="s">
        <v>131</v>
      </c>
      <c r="B256" s="1" t="s">
        <v>133</v>
      </c>
      <c r="C256" s="1" t="s">
        <v>634</v>
      </c>
      <c r="D256" s="1"/>
      <c r="E256" s="1"/>
      <c r="F256" s="1"/>
      <c r="G256" s="7">
        <f>COUNTIF(SheetTable02[Focal Document
Element],A256)</f>
        <v>5</v>
      </c>
      <c r="H256" s="7" t="str">
        <f>IF(A256=A255,"",_xlfn.TEXTJOIN(", ", TRUE, C256:INDEX(C:C, ROW(C256)+SheetTable02[[#This Row],[Column1]]-1)))</f>
        <v/>
      </c>
    </row>
    <row r="257" spans="1:8" ht="43.2">
      <c r="A257" s="1" t="s">
        <v>131</v>
      </c>
      <c r="B257" s="1" t="s">
        <v>133</v>
      </c>
      <c r="C257" s="1" t="s">
        <v>476</v>
      </c>
      <c r="D257" s="1"/>
      <c r="E257" s="1"/>
      <c r="F257" s="1"/>
      <c r="G257" s="7">
        <f>COUNTIF(SheetTable02[Focal Document
Element],A257)</f>
        <v>5</v>
      </c>
      <c r="H257" s="7" t="str">
        <f>IF(A257=A256,"",_xlfn.TEXTJOIN(", ", TRUE, C257:INDEX(C:C, ROW(C257)+SheetTable02[[#This Row],[Column1]]-1)))</f>
        <v/>
      </c>
    </row>
    <row r="258" spans="1:8" ht="57.6">
      <c r="A258" s="1" t="s">
        <v>135</v>
      </c>
      <c r="B258" s="1" t="s">
        <v>137</v>
      </c>
      <c r="C258" s="1" t="s">
        <v>663</v>
      </c>
      <c r="D258" s="1"/>
      <c r="E258" s="1"/>
      <c r="F258" s="1"/>
      <c r="G258" s="7">
        <f>COUNTIF(SheetTable02[Focal Document
Element],A258)</f>
        <v>6</v>
      </c>
      <c r="H258" s="7" t="str">
        <f>IF(A258=A257,"",_xlfn.TEXTJOIN(", ", TRUE, C258:INDEX(C:C, ROW(C258)+SheetTable02[[#This Row],[Column1]]-1)))</f>
        <v>AC-04
, CA-03, CA-09, PL-02, PL-08, PM-07</v>
      </c>
    </row>
    <row r="259" spans="1:8" ht="57.6">
      <c r="A259" s="1" t="s">
        <v>135</v>
      </c>
      <c r="B259" s="1" t="s">
        <v>137</v>
      </c>
      <c r="C259" s="1" t="s">
        <v>552</v>
      </c>
      <c r="D259" s="1"/>
      <c r="E259" s="1"/>
      <c r="F259" s="1"/>
      <c r="G259" s="7">
        <f>COUNTIF(SheetTable02[Focal Document
Element],A259)</f>
        <v>6</v>
      </c>
      <c r="H259" s="7" t="str">
        <f>IF(A259=A258,"",_xlfn.TEXTJOIN(", ", TRUE, C259:INDEX(C:C, ROW(C259)+SheetTable02[[#This Row],[Column1]]-1)))</f>
        <v/>
      </c>
    </row>
    <row r="260" spans="1:8" ht="57.6">
      <c r="A260" s="1" t="s">
        <v>135</v>
      </c>
      <c r="B260" s="1" t="s">
        <v>137</v>
      </c>
      <c r="C260" s="1" t="s">
        <v>662</v>
      </c>
      <c r="D260" s="1"/>
      <c r="E260" s="1"/>
      <c r="F260" s="1"/>
      <c r="G260" s="7">
        <f>COUNTIF(SheetTable02[Focal Document
Element],A260)</f>
        <v>6</v>
      </c>
      <c r="H260" s="7" t="str">
        <f>IF(A260=A259,"",_xlfn.TEXTJOIN(", ", TRUE, C260:INDEX(C:C, ROW(C260)+SheetTable02[[#This Row],[Column1]]-1)))</f>
        <v/>
      </c>
    </row>
    <row r="261" spans="1:8" ht="57.6">
      <c r="A261" s="1" t="s">
        <v>135</v>
      </c>
      <c r="B261" s="1" t="s">
        <v>137</v>
      </c>
      <c r="C261" s="1" t="s">
        <v>602</v>
      </c>
      <c r="D261" s="1"/>
      <c r="E261" s="1"/>
      <c r="F261" s="1"/>
      <c r="G261" s="7">
        <f>COUNTIF(SheetTable02[Focal Document
Element],A261)</f>
        <v>6</v>
      </c>
      <c r="H261" s="7" t="str">
        <f>IF(A261=A260,"",_xlfn.TEXTJOIN(", ", TRUE, C261:INDEX(C:C, ROW(C261)+SheetTable02[[#This Row],[Column1]]-1)))</f>
        <v/>
      </c>
    </row>
    <row r="262" spans="1:8" ht="57.6">
      <c r="A262" s="1" t="s">
        <v>135</v>
      </c>
      <c r="B262" s="1" t="s">
        <v>137</v>
      </c>
      <c r="C262" s="1" t="s">
        <v>661</v>
      </c>
      <c r="D262" s="1"/>
      <c r="E262" s="1"/>
      <c r="F262" s="1"/>
      <c r="G262" s="7">
        <f>COUNTIF(SheetTable02[Focal Document
Element],A262)</f>
        <v>6</v>
      </c>
      <c r="H262" s="7" t="str">
        <f>IF(A262=A261,"",_xlfn.TEXTJOIN(", ", TRUE, C262:INDEX(C:C, ROW(C262)+SheetTable02[[#This Row],[Column1]]-1)))</f>
        <v/>
      </c>
    </row>
    <row r="263" spans="1:8" ht="57.6">
      <c r="A263" s="1" t="s">
        <v>135</v>
      </c>
      <c r="B263" s="1" t="s">
        <v>137</v>
      </c>
      <c r="C263" s="1" t="s">
        <v>660</v>
      </c>
      <c r="D263" s="1"/>
      <c r="E263" s="1"/>
      <c r="F263" s="1"/>
      <c r="G263" s="7">
        <f>COUNTIF(SheetTable02[Focal Document
Element],A263)</f>
        <v>6</v>
      </c>
      <c r="H263" s="7" t="str">
        <f>IF(A263=A262,"",_xlfn.TEXTJOIN(", ", TRUE, C263:INDEX(C:C, ROW(C263)+SheetTable02[[#This Row],[Column1]]-1)))</f>
        <v/>
      </c>
    </row>
    <row r="264" spans="1:8" ht="43.2">
      <c r="A264" s="1" t="s">
        <v>139</v>
      </c>
      <c r="B264" s="1" t="s">
        <v>141</v>
      </c>
      <c r="C264" s="1" t="s">
        <v>659</v>
      </c>
      <c r="D264" s="1"/>
      <c r="E264" s="1"/>
      <c r="F264" s="1"/>
      <c r="G264" s="7">
        <f>COUNTIF(SheetTable02[Focal Document
Element],A264)</f>
        <v>3</v>
      </c>
      <c r="H264" s="7" t="str">
        <f>IF(A264=A263,"",_xlfn.TEXTJOIN(", ", TRUE, C264:INDEX(C:C, ROW(C264)+SheetTable02[[#This Row],[Column1]]-1)))</f>
        <v>AC-20
, SA-09, SR-02</v>
      </c>
    </row>
    <row r="265" spans="1:8" ht="28.8">
      <c r="A265" s="1" t="s">
        <v>139</v>
      </c>
      <c r="B265" s="1" t="s">
        <v>141</v>
      </c>
      <c r="C265" s="1" t="s">
        <v>476</v>
      </c>
      <c r="D265" s="1"/>
      <c r="E265" s="1"/>
      <c r="F265" s="1"/>
      <c r="G265" s="7">
        <f>COUNTIF(SheetTable02[Focal Document
Element],A265)</f>
        <v>3</v>
      </c>
      <c r="H265" s="7" t="str">
        <f>IF(A265=A264,"",_xlfn.TEXTJOIN(", ", TRUE, C265:INDEX(C:C, ROW(C265)+SheetTable02[[#This Row],[Column1]]-1)))</f>
        <v/>
      </c>
    </row>
    <row r="266" spans="1:8" ht="28.8">
      <c r="A266" s="1" t="s">
        <v>139</v>
      </c>
      <c r="B266" s="1" t="s">
        <v>141</v>
      </c>
      <c r="C266" s="1" t="s">
        <v>601</v>
      </c>
      <c r="D266" s="1"/>
      <c r="E266" s="1"/>
      <c r="F266" s="1"/>
      <c r="G266" s="7">
        <f>COUNTIF(SheetTable02[Focal Document
Element],A266)</f>
        <v>3</v>
      </c>
      <c r="H266" s="7" t="str">
        <f>IF(A266=A265,"",_xlfn.TEXTJOIN(", ", TRUE, C266:INDEX(C:C, ROW(C266)+SheetTable02[[#This Row],[Column1]]-1)))</f>
        <v/>
      </c>
    </row>
    <row r="267" spans="1:8" ht="43.2">
      <c r="A267" s="1" t="s">
        <v>143</v>
      </c>
      <c r="B267" s="1" t="s">
        <v>145</v>
      </c>
      <c r="C267" s="1" t="s">
        <v>658</v>
      </c>
      <c r="D267" s="1"/>
      <c r="E267" s="1"/>
      <c r="F267" s="1"/>
      <c r="G267" s="7">
        <f>COUNTIF(SheetTable02[Focal Document
Element],A267)</f>
        <v>3</v>
      </c>
      <c r="H267" s="7" t="str">
        <f>IF(A267=A266,"",_xlfn.TEXTJOIN(", ", TRUE, C267:INDEX(C:C, ROW(C267)+SheetTable02[[#This Row],[Column1]]-1)))</f>
        <v>RA-03
, RA-09, RA-02</v>
      </c>
    </row>
    <row r="268" spans="1:8" ht="43.2">
      <c r="A268" s="1" t="s">
        <v>143</v>
      </c>
      <c r="B268" s="1" t="s">
        <v>145</v>
      </c>
      <c r="C268" s="1" t="s">
        <v>638</v>
      </c>
      <c r="D268" s="1"/>
      <c r="E268" s="1"/>
      <c r="F268" s="1"/>
      <c r="G268" s="7">
        <f>COUNTIF(SheetTable02[Focal Document
Element],A268)</f>
        <v>3</v>
      </c>
      <c r="H268" s="7" t="str">
        <f>IF(A268=A267,"",_xlfn.TEXTJOIN(", ", TRUE, C268:INDEX(C:C, ROW(C268)+SheetTable02[[#This Row],[Column1]]-1)))</f>
        <v/>
      </c>
    </row>
    <row r="269" spans="1:8" ht="43.2">
      <c r="A269" s="1" t="s">
        <v>143</v>
      </c>
      <c r="B269" s="1" t="s">
        <v>145</v>
      </c>
      <c r="C269" s="1" t="s">
        <v>637</v>
      </c>
      <c r="D269" s="1"/>
      <c r="E269" s="1"/>
      <c r="F269" s="1"/>
      <c r="G269" s="7">
        <f>COUNTIF(SheetTable02[Focal Document
Element],A269)</f>
        <v>3</v>
      </c>
      <c r="H269" s="7" t="str">
        <f>IF(A269=A268,"",_xlfn.TEXTJOIN(", ", TRUE, C269:INDEX(C:C, ROW(C269)+SheetTable02[[#This Row],[Column1]]-1)))</f>
        <v/>
      </c>
    </row>
    <row r="270" spans="1:8" ht="43.2">
      <c r="A270" s="1" t="s">
        <v>147</v>
      </c>
      <c r="B270" s="1" t="s">
        <v>148</v>
      </c>
      <c r="C270" s="1" t="s">
        <v>657</v>
      </c>
      <c r="D270" s="1"/>
      <c r="E270" s="1"/>
      <c r="F270" s="1"/>
      <c r="G270" s="7">
        <f>COUNTIF(SheetTable02[Focal Document
Element],A270)</f>
        <v>3</v>
      </c>
      <c r="H270" s="7" t="str">
        <f>IF(A270=A269,"",_xlfn.TEXTJOIN(", ", TRUE, C270:INDEX(C:C, ROW(C270)+SheetTable02[[#This Row],[Column1]]-1)))</f>
        <v>CM-12
, CM-13, SI-12</v>
      </c>
    </row>
    <row r="271" spans="1:8" ht="43.2">
      <c r="A271" s="1" t="s">
        <v>147</v>
      </c>
      <c r="B271" s="1" t="s">
        <v>148</v>
      </c>
      <c r="C271" s="1" t="s">
        <v>656</v>
      </c>
      <c r="D271" s="1"/>
      <c r="E271" s="1"/>
      <c r="F271" s="1"/>
      <c r="G271" s="7">
        <f>COUNTIF(SheetTable02[Focal Document
Element],A271)</f>
        <v>3</v>
      </c>
      <c r="H271" s="7" t="str">
        <f>IF(A271=A270,"",_xlfn.TEXTJOIN(", ", TRUE, C271:INDEX(C:C, ROW(C271)+SheetTable02[[#This Row],[Column1]]-1)))</f>
        <v/>
      </c>
    </row>
    <row r="272" spans="1:8" ht="43.2">
      <c r="A272" s="1" t="s">
        <v>147</v>
      </c>
      <c r="B272" s="1" t="s">
        <v>148</v>
      </c>
      <c r="C272" s="1" t="s">
        <v>650</v>
      </c>
      <c r="D272" s="1"/>
      <c r="E272" s="1"/>
      <c r="F272" s="1"/>
      <c r="G272" s="7">
        <f>COUNTIF(SheetTable02[Focal Document
Element],A272)</f>
        <v>3</v>
      </c>
      <c r="H272" s="7" t="str">
        <f>IF(A272=A271,"",_xlfn.TEXTJOIN(", ", TRUE, C272:INDEX(C:C, ROW(C272)+SheetTable02[[#This Row],[Column1]]-1)))</f>
        <v/>
      </c>
    </row>
    <row r="273" spans="1:8" ht="43.2">
      <c r="A273" s="1" t="s">
        <v>150</v>
      </c>
      <c r="B273" s="1" t="s">
        <v>152</v>
      </c>
      <c r="C273" s="1" t="s">
        <v>535</v>
      </c>
      <c r="D273" s="1"/>
      <c r="E273" s="1"/>
      <c r="F273" s="1"/>
      <c r="G273" s="7">
        <f>COUNTIF(SheetTable02[Focal Document
Element],A273)</f>
        <v>15</v>
      </c>
      <c r="H273" s="7" t="str">
        <f>IF(A273=A272,"",_xlfn.TEXTJOIN(", ", TRUE, C273:INDEX(C:C, ROW(C273)+SheetTable02[[#This Row],[Column1]]-1)))</f>
        <v>CM-09, CM-13, MA-02, MA-06, PL-02, PM-22, PM-23, SA-03, SA-04, SA-08, SA-22, SI-12, SI-18, SR-05, SR-12</v>
      </c>
    </row>
    <row r="274" spans="1:8" ht="43.2">
      <c r="A274" s="1" t="s">
        <v>150</v>
      </c>
      <c r="B274" s="1" t="s">
        <v>152</v>
      </c>
      <c r="C274" s="1" t="s">
        <v>656</v>
      </c>
      <c r="D274" s="1"/>
      <c r="E274" s="1"/>
      <c r="F274" s="1"/>
      <c r="G274" s="7">
        <f>COUNTIF(SheetTable02[Focal Document
Element],A274)</f>
        <v>15</v>
      </c>
      <c r="H274" s="7" t="str">
        <f>IF(A274=A273,"",_xlfn.TEXTJOIN(", ", TRUE, C274:INDEX(C:C, ROW(C274)+SheetTable02[[#This Row],[Column1]]-1)))</f>
        <v/>
      </c>
    </row>
    <row r="275" spans="1:8" ht="43.2">
      <c r="A275" s="1" t="s">
        <v>150</v>
      </c>
      <c r="B275" s="1" t="s">
        <v>152</v>
      </c>
      <c r="C275" s="1" t="s">
        <v>655</v>
      </c>
      <c r="D275" s="1"/>
      <c r="E275" s="1"/>
      <c r="F275" s="1"/>
      <c r="G275" s="7">
        <f>COUNTIF(SheetTable02[Focal Document
Element],A275)</f>
        <v>15</v>
      </c>
      <c r="H275" s="7" t="str">
        <f>IF(A275=A274,"",_xlfn.TEXTJOIN(", ", TRUE, C275:INDEX(C:C, ROW(C275)+SheetTable02[[#This Row],[Column1]]-1)))</f>
        <v/>
      </c>
    </row>
    <row r="276" spans="1:8" ht="43.2">
      <c r="A276" s="1" t="s">
        <v>150</v>
      </c>
      <c r="B276" s="1" t="s">
        <v>152</v>
      </c>
      <c r="C276" s="3" t="s">
        <v>654</v>
      </c>
      <c r="D276" s="1"/>
      <c r="E276" s="1"/>
      <c r="F276" s="1"/>
      <c r="G276" s="7">
        <f>COUNTIF(SheetTable02[Focal Document
Element],A276)</f>
        <v>15</v>
      </c>
      <c r="H276" s="7" t="str">
        <f>IF(A276=A275,"",_xlfn.TEXTJOIN(", ", TRUE, C276:INDEX(C:C, ROW(C276)+SheetTable02[[#This Row],[Column1]]-1)))</f>
        <v/>
      </c>
    </row>
    <row r="277" spans="1:8" ht="43.2">
      <c r="A277" s="1" t="s">
        <v>150</v>
      </c>
      <c r="B277" s="1" t="s">
        <v>152</v>
      </c>
      <c r="C277" s="3" t="s">
        <v>602</v>
      </c>
      <c r="D277" s="1"/>
      <c r="E277" s="1"/>
      <c r="F277" s="1"/>
      <c r="G277" s="7">
        <f>COUNTIF(SheetTable02[Focal Document
Element],A277)</f>
        <v>15</v>
      </c>
      <c r="H277" s="7" t="str">
        <f>IF(A277=A276,"",_xlfn.TEXTJOIN(", ", TRUE, C277:INDEX(C:C, ROW(C277)+SheetTable02[[#This Row],[Column1]]-1)))</f>
        <v/>
      </c>
    </row>
    <row r="278" spans="1:8" ht="43.2">
      <c r="A278" s="1" t="s">
        <v>150</v>
      </c>
      <c r="B278" s="1" t="s">
        <v>152</v>
      </c>
      <c r="C278" s="3" t="s">
        <v>653</v>
      </c>
      <c r="D278" s="1"/>
      <c r="E278" s="1"/>
      <c r="F278" s="1"/>
      <c r="G278" s="7">
        <f>COUNTIF(SheetTable02[Focal Document
Element],A278)</f>
        <v>15</v>
      </c>
      <c r="H278" s="7" t="str">
        <f>IF(A278=A277,"",_xlfn.TEXTJOIN(", ", TRUE, C278:INDEX(C:C, ROW(C278)+SheetTable02[[#This Row],[Column1]]-1)))</f>
        <v/>
      </c>
    </row>
    <row r="279" spans="1:8" ht="43.2">
      <c r="A279" s="1" t="s">
        <v>150</v>
      </c>
      <c r="B279" s="1" t="s">
        <v>152</v>
      </c>
      <c r="C279" s="3" t="s">
        <v>652</v>
      </c>
      <c r="D279" s="1"/>
      <c r="E279" s="1"/>
      <c r="F279" s="1"/>
      <c r="G279" s="7">
        <f>COUNTIF(SheetTable02[Focal Document
Element],A279)</f>
        <v>15</v>
      </c>
      <c r="H279" s="7" t="str">
        <f>IF(A279=A278,"",_xlfn.TEXTJOIN(", ", TRUE, C279:INDEX(C:C, ROW(C279)+SheetTable02[[#This Row],[Column1]]-1)))</f>
        <v/>
      </c>
    </row>
    <row r="280" spans="1:8" ht="43.2">
      <c r="A280" s="1" t="s">
        <v>150</v>
      </c>
      <c r="B280" s="1" t="s">
        <v>152</v>
      </c>
      <c r="C280" s="3" t="s">
        <v>519</v>
      </c>
      <c r="D280" s="1"/>
      <c r="E280" s="1"/>
      <c r="F280" s="1"/>
      <c r="G280" s="7">
        <f>COUNTIF(SheetTable02[Focal Document
Element],A280)</f>
        <v>15</v>
      </c>
      <c r="H280" s="7" t="str">
        <f>IF(A280=A279,"",_xlfn.TEXTJOIN(", ", TRUE, C280:INDEX(C:C, ROW(C280)+SheetTable02[[#This Row],[Column1]]-1)))</f>
        <v/>
      </c>
    </row>
    <row r="281" spans="1:8" ht="43.2">
      <c r="A281" s="1" t="s">
        <v>150</v>
      </c>
      <c r="B281" s="1" t="s">
        <v>152</v>
      </c>
      <c r="C281" s="3" t="s">
        <v>477</v>
      </c>
      <c r="D281" s="1"/>
      <c r="E281" s="1"/>
      <c r="F281" s="1"/>
      <c r="G281" s="7">
        <f>COUNTIF(SheetTable02[Focal Document
Element],A281)</f>
        <v>15</v>
      </c>
      <c r="H281" s="7" t="str">
        <f>IF(A281=A280,"",_xlfn.TEXTJOIN(", ", TRUE, C281:INDEX(C:C, ROW(C281)+SheetTable02[[#This Row],[Column1]]-1)))</f>
        <v/>
      </c>
    </row>
    <row r="282" spans="1:8" ht="43.2">
      <c r="A282" s="1" t="s">
        <v>150</v>
      </c>
      <c r="B282" s="1" t="s">
        <v>152</v>
      </c>
      <c r="C282" s="3" t="s">
        <v>499</v>
      </c>
      <c r="D282" s="1"/>
      <c r="E282" s="1"/>
      <c r="F282" s="1"/>
      <c r="G282" s="7">
        <f>COUNTIF(SheetTable02[Focal Document
Element],A282)</f>
        <v>15</v>
      </c>
      <c r="H282" s="7" t="str">
        <f>IF(A282=A281,"",_xlfn.TEXTJOIN(", ", TRUE, C282:INDEX(C:C, ROW(C282)+SheetTable02[[#This Row],[Column1]]-1)))</f>
        <v/>
      </c>
    </row>
    <row r="283" spans="1:8" ht="43.2">
      <c r="A283" s="1" t="s">
        <v>150</v>
      </c>
      <c r="B283" s="1" t="s">
        <v>152</v>
      </c>
      <c r="C283" s="3" t="s">
        <v>651</v>
      </c>
      <c r="D283" s="1"/>
      <c r="E283" s="1"/>
      <c r="F283" s="1"/>
      <c r="G283" s="7">
        <f>COUNTIF(SheetTable02[Focal Document
Element],A283)</f>
        <v>15</v>
      </c>
      <c r="H283" s="7" t="str">
        <f>IF(A283=A282,"",_xlfn.TEXTJOIN(", ", TRUE, C283:INDEX(C:C, ROW(C283)+SheetTable02[[#This Row],[Column1]]-1)))</f>
        <v/>
      </c>
    </row>
    <row r="284" spans="1:8" ht="43.2">
      <c r="A284" s="1" t="s">
        <v>150</v>
      </c>
      <c r="B284" s="1" t="s">
        <v>152</v>
      </c>
      <c r="C284" s="3" t="s">
        <v>650</v>
      </c>
      <c r="D284" s="1"/>
      <c r="E284" s="1"/>
      <c r="F284" s="1"/>
      <c r="G284" s="7">
        <f>COUNTIF(SheetTable02[Focal Document
Element],A284)</f>
        <v>15</v>
      </c>
      <c r="H284" s="7" t="str">
        <f>IF(A284=A283,"",_xlfn.TEXTJOIN(", ", TRUE, C284:INDEX(C:C, ROW(C284)+SheetTable02[[#This Row],[Column1]]-1)))</f>
        <v/>
      </c>
    </row>
    <row r="285" spans="1:8" ht="43.2">
      <c r="A285" s="1" t="s">
        <v>150</v>
      </c>
      <c r="B285" s="1" t="s">
        <v>152</v>
      </c>
      <c r="C285" s="3" t="s">
        <v>649</v>
      </c>
      <c r="D285" s="1"/>
      <c r="E285" s="1"/>
      <c r="F285" s="1"/>
      <c r="G285" s="7">
        <f>COUNTIF(SheetTable02[Focal Document
Element],A285)</f>
        <v>15</v>
      </c>
      <c r="H285" s="7" t="str">
        <f>IF(A285=A284,"",_xlfn.TEXTJOIN(", ", TRUE, C285:INDEX(C:C, ROW(C285)+SheetTable02[[#This Row],[Column1]]-1)))</f>
        <v/>
      </c>
    </row>
    <row r="286" spans="1:8" ht="43.2">
      <c r="A286" s="1" t="s">
        <v>150</v>
      </c>
      <c r="B286" s="1" t="s">
        <v>152</v>
      </c>
      <c r="C286" s="3" t="s">
        <v>604</v>
      </c>
      <c r="D286" s="1"/>
      <c r="E286" s="1"/>
      <c r="F286" s="1"/>
      <c r="G286" s="7">
        <f>COUNTIF(SheetTable02[Focal Document
Element],A286)</f>
        <v>15</v>
      </c>
      <c r="H286" s="7" t="str">
        <f>IF(A286=A285,"",_xlfn.TEXTJOIN(", ", TRUE, C286:INDEX(C:C, ROW(C286)+SheetTable02[[#This Row],[Column1]]-1)))</f>
        <v/>
      </c>
    </row>
    <row r="287" spans="1:8" ht="43.2">
      <c r="A287" s="1" t="s">
        <v>150</v>
      </c>
      <c r="B287" s="1" t="s">
        <v>152</v>
      </c>
      <c r="C287" s="3" t="s">
        <v>648</v>
      </c>
      <c r="D287" s="1"/>
      <c r="E287" s="1"/>
      <c r="F287" s="1"/>
      <c r="G287" s="7">
        <f>COUNTIF(SheetTable02[Focal Document
Element],A287)</f>
        <v>15</v>
      </c>
      <c r="H287" s="7" t="str">
        <f>IF(A287=A286,"",_xlfn.TEXTJOIN(", ", TRUE, C287:INDEX(C:C, ROW(C287)+SheetTable02[[#This Row],[Column1]]-1)))</f>
        <v/>
      </c>
    </row>
    <row r="288" spans="1:8" ht="43.2">
      <c r="A288" s="1" t="s">
        <v>647</v>
      </c>
      <c r="B288" s="1" t="s">
        <v>646</v>
      </c>
      <c r="C288" s="1"/>
      <c r="D288" s="1"/>
      <c r="E288" s="1"/>
      <c r="F288" s="1"/>
      <c r="G288" s="7">
        <f>COUNTIF(SheetTable02[Focal Document
Element],A288)</f>
        <v>1</v>
      </c>
      <c r="H288" s="7" t="str">
        <f>IF(A288=A287,"",_xlfn.TEXTJOIN(", ", TRUE, C288:INDEX(C:C, ROW(C288)+SheetTable02[[#This Row],[Column1]]-1)))</f>
        <v/>
      </c>
    </row>
    <row r="289" spans="1:8" ht="28.8">
      <c r="A289" s="1" t="s">
        <v>154</v>
      </c>
      <c r="B289" s="1" t="s">
        <v>156</v>
      </c>
      <c r="C289" s="4" t="s">
        <v>610</v>
      </c>
      <c r="D289" s="1"/>
      <c r="E289" s="1"/>
      <c r="F289" s="1"/>
      <c r="G289" s="7">
        <f>COUNTIF(SheetTable02[Focal Document
Element],A289)</f>
        <v>10</v>
      </c>
      <c r="H289" s="7" t="str">
        <f>IF(A289=A288,"",_xlfn.TEXTJOIN(", ", TRUE, C289:INDEX(C:C, ROW(C289)+SheetTable02[[#This Row],[Column1]]-1)))</f>
        <v>CA-02, CA-07, CA-08, RA-03, RA-05, SA-11(02), SA-15(07), SA-15(08), SI-04, SI-05</v>
      </c>
    </row>
    <row r="290" spans="1:8" ht="28.8">
      <c r="A290" s="1" t="s">
        <v>154</v>
      </c>
      <c r="B290" s="1" t="s">
        <v>156</v>
      </c>
      <c r="C290" s="1" t="s">
        <v>462</v>
      </c>
      <c r="D290" s="1"/>
      <c r="E290" s="1"/>
      <c r="F290" s="1"/>
      <c r="G290" s="7">
        <f>COUNTIF(SheetTable02[Focal Document
Element],A290)</f>
        <v>10</v>
      </c>
      <c r="H290" s="7" t="str">
        <f>IF(A290=A289,"",_xlfn.TEXTJOIN(", ", TRUE, C290:INDEX(C:C, ROW(C290)+SheetTable02[[#This Row],[Column1]]-1)))</f>
        <v/>
      </c>
    </row>
    <row r="291" spans="1:8" ht="28.8">
      <c r="A291" s="1" t="s">
        <v>154</v>
      </c>
      <c r="B291" s="1" t="s">
        <v>156</v>
      </c>
      <c r="C291" s="1" t="s">
        <v>608</v>
      </c>
      <c r="D291" s="1"/>
      <c r="E291" s="1"/>
      <c r="F291" s="1"/>
      <c r="G291" s="7">
        <f>COUNTIF(SheetTable02[Focal Document
Element],A291)</f>
        <v>10</v>
      </c>
      <c r="H291" s="7" t="str">
        <f>IF(A291=A290,"",_xlfn.TEXTJOIN(", ", TRUE, C291:INDEX(C:C, ROW(C291)+SheetTable02[[#This Row],[Column1]]-1)))</f>
        <v/>
      </c>
    </row>
    <row r="292" spans="1:8" ht="28.8">
      <c r="A292" s="1" t="s">
        <v>154</v>
      </c>
      <c r="B292" s="1" t="s">
        <v>156</v>
      </c>
      <c r="C292" s="1" t="s">
        <v>442</v>
      </c>
      <c r="D292" s="1"/>
      <c r="E292" s="1"/>
      <c r="F292" s="1"/>
      <c r="G292" s="7">
        <f>COUNTIF(SheetTable02[Focal Document
Element],A292)</f>
        <v>10</v>
      </c>
      <c r="H292" s="7" t="str">
        <f>IF(A292=A291,"",_xlfn.TEXTJOIN(", ", TRUE, C292:INDEX(C:C, ROW(C292)+SheetTable02[[#This Row],[Column1]]-1)))</f>
        <v/>
      </c>
    </row>
    <row r="293" spans="1:8" ht="28.8">
      <c r="A293" s="1" t="s">
        <v>154</v>
      </c>
      <c r="B293" s="1" t="s">
        <v>156</v>
      </c>
      <c r="C293" s="1" t="s">
        <v>605</v>
      </c>
      <c r="D293" s="1"/>
      <c r="E293" s="1"/>
      <c r="F293" s="1"/>
      <c r="G293" s="7">
        <f>COUNTIF(SheetTable02[Focal Document
Element],A293)</f>
        <v>10</v>
      </c>
      <c r="H293" s="7" t="str">
        <f>IF(A293=A292,"",_xlfn.TEXTJOIN(", ", TRUE, C293:INDEX(C:C, ROW(C293)+SheetTable02[[#This Row],[Column1]]-1)))</f>
        <v/>
      </c>
    </row>
    <row r="294" spans="1:8" ht="28.8">
      <c r="A294" s="1" t="s">
        <v>154</v>
      </c>
      <c r="B294" s="1" t="s">
        <v>156</v>
      </c>
      <c r="C294" s="1" t="s">
        <v>645</v>
      </c>
      <c r="D294" s="1"/>
      <c r="E294" s="1"/>
      <c r="F294" s="1"/>
      <c r="G294" s="7">
        <f>COUNTIF(SheetTable02[Focal Document
Element],A294)</f>
        <v>10</v>
      </c>
      <c r="H294" s="7" t="str">
        <f>IF(A294=A293,"",_xlfn.TEXTJOIN(", ", TRUE, C294:INDEX(C:C, ROW(C294)+SheetTable02[[#This Row],[Column1]]-1)))</f>
        <v/>
      </c>
    </row>
    <row r="295" spans="1:8" ht="28.8">
      <c r="A295" s="1" t="s">
        <v>154</v>
      </c>
      <c r="B295" s="1" t="s">
        <v>156</v>
      </c>
      <c r="C295" s="1" t="s">
        <v>644</v>
      </c>
      <c r="D295" s="1"/>
      <c r="E295" s="1"/>
      <c r="F295" s="1"/>
      <c r="G295" s="7">
        <f>COUNTIF(SheetTable02[Focal Document
Element],A295)</f>
        <v>10</v>
      </c>
      <c r="H295" s="7" t="str">
        <f>IF(A295=A294,"",_xlfn.TEXTJOIN(", ", TRUE, C295:INDEX(C:C, ROW(C295)+SheetTable02[[#This Row],[Column1]]-1)))</f>
        <v/>
      </c>
    </row>
    <row r="296" spans="1:8" ht="28.8">
      <c r="A296" s="1" t="s">
        <v>154</v>
      </c>
      <c r="B296" s="1" t="s">
        <v>156</v>
      </c>
      <c r="C296" s="1" t="s">
        <v>643</v>
      </c>
      <c r="D296" s="1"/>
      <c r="E296" s="1"/>
      <c r="F296" s="1"/>
      <c r="G296" s="7">
        <f>COUNTIF(SheetTable02[Focal Document
Element],A296)</f>
        <v>10</v>
      </c>
      <c r="H296" s="7" t="str">
        <f>IF(A296=A295,"",_xlfn.TEXTJOIN(", ", TRUE, C296:INDEX(C:C, ROW(C296)+SheetTable02[[#This Row],[Column1]]-1)))</f>
        <v/>
      </c>
    </row>
    <row r="297" spans="1:8" ht="28.8">
      <c r="A297" s="1" t="s">
        <v>154</v>
      </c>
      <c r="B297" s="1" t="s">
        <v>156</v>
      </c>
      <c r="C297" s="1" t="s">
        <v>461</v>
      </c>
      <c r="D297" s="1"/>
      <c r="E297" s="1"/>
      <c r="F297" s="1"/>
      <c r="G297" s="7">
        <f>COUNTIF(SheetTable02[Focal Document
Element],A297)</f>
        <v>10</v>
      </c>
      <c r="H297" s="7" t="str">
        <f>IF(A297=A296,"",_xlfn.TEXTJOIN(", ", TRUE, C297:INDEX(C:C, ROW(C297)+SheetTable02[[#This Row],[Column1]]-1)))</f>
        <v/>
      </c>
    </row>
    <row r="298" spans="1:8" ht="28.8">
      <c r="A298" s="1" t="s">
        <v>154</v>
      </c>
      <c r="B298" s="1" t="s">
        <v>156</v>
      </c>
      <c r="C298" s="1" t="s">
        <v>640</v>
      </c>
      <c r="D298" s="1"/>
      <c r="E298" s="1"/>
      <c r="F298" s="1"/>
      <c r="G298" s="7">
        <f>COUNTIF(SheetTable02[Focal Document
Element],A298)</f>
        <v>10</v>
      </c>
      <c r="H298" s="7" t="str">
        <f>IF(A298=A297,"",_xlfn.TEXTJOIN(", ", TRUE, C298:INDEX(C:C, ROW(C298)+SheetTable02[[#This Row],[Column1]]-1)))</f>
        <v/>
      </c>
    </row>
    <row r="299" spans="1:8" ht="43.2">
      <c r="A299" s="1" t="s">
        <v>158</v>
      </c>
      <c r="B299" s="1" t="s">
        <v>160</v>
      </c>
      <c r="C299" s="1" t="s">
        <v>642</v>
      </c>
      <c r="D299" s="1"/>
      <c r="E299" s="1"/>
      <c r="F299" s="1"/>
      <c r="G299" s="7">
        <f>COUNTIF(SheetTable02[Focal Document
Element],A299)</f>
        <v>3</v>
      </c>
      <c r="H299" s="7" t="str">
        <f>IF(A299=A298,"",_xlfn.TEXTJOIN(", ", TRUE, C299:INDEX(C:C, ROW(C299)+SheetTable02[[#This Row],[Column1]]-1)))</f>
        <v>SI-05
, PM-15, PM-16</v>
      </c>
    </row>
    <row r="300" spans="1:8" ht="43.2">
      <c r="A300" s="1" t="s">
        <v>158</v>
      </c>
      <c r="B300" s="1" t="s">
        <v>160</v>
      </c>
      <c r="C300" s="1" t="s">
        <v>457</v>
      </c>
      <c r="D300" s="1"/>
      <c r="E300" s="1"/>
      <c r="F300" s="1"/>
      <c r="G300" s="7">
        <f>COUNTIF(SheetTable02[Focal Document
Element],A300)</f>
        <v>3</v>
      </c>
      <c r="H300" s="7" t="str">
        <f>IF(A300=A299,"",_xlfn.TEXTJOIN(", ", TRUE, C300:INDEX(C:C, ROW(C300)+SheetTable02[[#This Row],[Column1]]-1)))</f>
        <v/>
      </c>
    </row>
    <row r="301" spans="1:8" ht="43.2">
      <c r="A301" s="1" t="s">
        <v>158</v>
      </c>
      <c r="B301" s="1" t="s">
        <v>160</v>
      </c>
      <c r="C301" s="1" t="s">
        <v>456</v>
      </c>
      <c r="D301" s="1"/>
      <c r="E301" s="1"/>
      <c r="F301" s="1"/>
      <c r="G301" s="7">
        <f>COUNTIF(SheetTable02[Focal Document
Element],A301)</f>
        <v>3</v>
      </c>
      <c r="H301" s="7" t="str">
        <f>IF(A301=A300,"",_xlfn.TEXTJOIN(", ", TRUE, C301:INDEX(C:C, ROW(C301)+SheetTable02[[#This Row],[Column1]]-1)))</f>
        <v/>
      </c>
    </row>
    <row r="302" spans="1:8" ht="28.8">
      <c r="A302" s="1" t="s">
        <v>162</v>
      </c>
      <c r="B302" s="1" t="s">
        <v>164</v>
      </c>
      <c r="C302" s="1" t="s">
        <v>641</v>
      </c>
      <c r="D302" s="1"/>
      <c r="E302" s="1"/>
      <c r="F302" s="1"/>
      <c r="G302" s="7">
        <f>COUNTIF(SheetTable02[Focal Document
Element],A302)</f>
        <v>4</v>
      </c>
      <c r="H302" s="7" t="str">
        <f>IF(A302=A301,"",_xlfn.TEXTJOIN(", ", TRUE, C302:INDEX(C:C, ROW(C302)+SheetTable02[[#This Row],[Column1]]-1)))</f>
        <v>PM-12
, PM-16, RA-03, SI-05</v>
      </c>
    </row>
    <row r="303" spans="1:8" ht="28.8">
      <c r="A303" s="1" t="s">
        <v>162</v>
      </c>
      <c r="B303" s="1" t="s">
        <v>164</v>
      </c>
      <c r="C303" s="1" t="s">
        <v>456</v>
      </c>
      <c r="D303" s="1"/>
      <c r="E303" s="1"/>
      <c r="F303" s="1"/>
      <c r="G303" s="7">
        <f>COUNTIF(SheetTable02[Focal Document
Element],A303)</f>
        <v>4</v>
      </c>
      <c r="H303" s="7" t="str">
        <f>IF(A303=A302,"",_xlfn.TEXTJOIN(", ", TRUE, C303:INDEX(C:C, ROW(C303)+SheetTable02[[#This Row],[Column1]]-1)))</f>
        <v/>
      </c>
    </row>
    <row r="304" spans="1:8" ht="28.8">
      <c r="A304" s="1" t="s">
        <v>162</v>
      </c>
      <c r="B304" s="1" t="s">
        <v>164</v>
      </c>
      <c r="C304" s="1" t="s">
        <v>442</v>
      </c>
      <c r="D304" s="1"/>
      <c r="E304" s="1"/>
      <c r="F304" s="1"/>
      <c r="G304" s="7">
        <f>COUNTIF(SheetTable02[Focal Document
Element],A304)</f>
        <v>4</v>
      </c>
      <c r="H304" s="7" t="str">
        <f>IF(A304=A303,"",_xlfn.TEXTJOIN(", ", TRUE, C304:INDEX(C:C, ROW(C304)+SheetTable02[[#This Row],[Column1]]-1)))</f>
        <v/>
      </c>
    </row>
    <row r="305" spans="1:8" ht="28.8">
      <c r="A305" s="1" t="s">
        <v>162</v>
      </c>
      <c r="B305" s="1" t="s">
        <v>164</v>
      </c>
      <c r="C305" s="1" t="s">
        <v>640</v>
      </c>
      <c r="D305" s="1"/>
      <c r="E305" s="1"/>
      <c r="F305" s="1"/>
      <c r="G305" s="7">
        <f>COUNTIF(SheetTable02[Focal Document
Element],A305)</f>
        <v>4</v>
      </c>
      <c r="H305" s="7" t="str">
        <f>IF(A305=A304,"",_xlfn.TEXTJOIN(", ", TRUE, C305:INDEX(C:C, ROW(C305)+SheetTable02[[#This Row],[Column1]]-1)))</f>
        <v/>
      </c>
    </row>
    <row r="306" spans="1:8" ht="43.2">
      <c r="A306" s="1" t="s">
        <v>166</v>
      </c>
      <c r="B306" s="1" t="s">
        <v>168</v>
      </c>
      <c r="C306" s="1" t="s">
        <v>636</v>
      </c>
      <c r="D306" s="1"/>
      <c r="E306" s="1"/>
      <c r="F306" s="1"/>
      <c r="G306" s="7">
        <f>COUNTIF(SheetTable02[Focal Document
Element],A306)</f>
        <v>6</v>
      </c>
      <c r="H306" s="7" t="str">
        <f>IF(A306=A305,"",_xlfn.TEXTJOIN(", ", TRUE, C306:INDEX(C:C, ROW(C306)+SheetTable02[[#This Row],[Column1]]-1)))</f>
        <v>PM-09
, PM-11, RA-02, RA-03, RA-08, RA-09</v>
      </c>
    </row>
    <row r="307" spans="1:8" ht="43.2">
      <c r="A307" s="1" t="s">
        <v>166</v>
      </c>
      <c r="B307" s="1" t="s">
        <v>168</v>
      </c>
      <c r="C307" s="1" t="s">
        <v>425</v>
      </c>
      <c r="D307" s="1"/>
      <c r="E307" s="1"/>
      <c r="F307" s="1"/>
      <c r="G307" s="7">
        <f>COUNTIF(SheetTable02[Focal Document
Element],A307)</f>
        <v>6</v>
      </c>
      <c r="H307" s="7" t="str">
        <f>IF(A307=A306,"",_xlfn.TEXTJOIN(", ", TRUE, C307:INDEX(C:C, ROW(C307)+SheetTable02[[#This Row],[Column1]]-1)))</f>
        <v/>
      </c>
    </row>
    <row r="308" spans="1:8" ht="43.2">
      <c r="A308" s="1" t="s">
        <v>166</v>
      </c>
      <c r="B308" s="1" t="s">
        <v>168</v>
      </c>
      <c r="C308" s="1" t="s">
        <v>637</v>
      </c>
      <c r="D308" s="1"/>
      <c r="E308" s="1"/>
      <c r="F308" s="1"/>
      <c r="G308" s="7">
        <f>COUNTIF(SheetTable02[Focal Document
Element],A308)</f>
        <v>6</v>
      </c>
      <c r="H308" s="7" t="str">
        <f>IF(A308=A307,"",_xlfn.TEXTJOIN(", ", TRUE, C308:INDEX(C:C, ROW(C308)+SheetTable02[[#This Row],[Column1]]-1)))</f>
        <v/>
      </c>
    </row>
    <row r="309" spans="1:8" ht="43.2">
      <c r="A309" s="1" t="s">
        <v>166</v>
      </c>
      <c r="B309" s="1" t="s">
        <v>168</v>
      </c>
      <c r="C309" s="1" t="s">
        <v>442</v>
      </c>
      <c r="D309" s="1"/>
      <c r="E309" s="1"/>
      <c r="F309" s="1"/>
      <c r="G309" s="7">
        <f>COUNTIF(SheetTable02[Focal Document
Element],A309)</f>
        <v>6</v>
      </c>
      <c r="H309" s="7" t="str">
        <f>IF(A309=A308,"",_xlfn.TEXTJOIN(", ", TRUE, C309:INDEX(C:C, ROW(C309)+SheetTable02[[#This Row],[Column1]]-1)))</f>
        <v/>
      </c>
    </row>
    <row r="310" spans="1:8" ht="43.2">
      <c r="A310" s="1" t="s">
        <v>166</v>
      </c>
      <c r="B310" s="1" t="s">
        <v>168</v>
      </c>
      <c r="C310" s="1" t="s">
        <v>639</v>
      </c>
      <c r="D310" s="1"/>
      <c r="E310" s="1"/>
      <c r="F310" s="1"/>
      <c r="G310" s="7">
        <f>COUNTIF(SheetTable02[Focal Document
Element],A310)</f>
        <v>6</v>
      </c>
      <c r="H310" s="7" t="str">
        <f>IF(A310=A309,"",_xlfn.TEXTJOIN(", ", TRUE, C310:INDEX(C:C, ROW(C310)+SheetTable02[[#This Row],[Column1]]-1)))</f>
        <v/>
      </c>
    </row>
    <row r="311" spans="1:8" ht="43.2">
      <c r="A311" s="1" t="s">
        <v>166</v>
      </c>
      <c r="B311" s="1" t="s">
        <v>168</v>
      </c>
      <c r="C311" s="1" t="s">
        <v>638</v>
      </c>
      <c r="D311" s="1"/>
      <c r="E311" s="1"/>
      <c r="F311" s="1"/>
      <c r="G311" s="7">
        <f>COUNTIF(SheetTable02[Focal Document
Element],A311)</f>
        <v>6</v>
      </c>
      <c r="H311" s="7" t="str">
        <f>IF(A311=A310,"",_xlfn.TEXTJOIN(", ", TRUE, C311:INDEX(C:C, ROW(C311)+SheetTable02[[#This Row],[Column1]]-1)))</f>
        <v/>
      </c>
    </row>
    <row r="312" spans="1:8" ht="57.6">
      <c r="A312" s="1" t="s">
        <v>170</v>
      </c>
      <c r="B312" s="1" t="s">
        <v>172</v>
      </c>
      <c r="C312" s="1" t="s">
        <v>454</v>
      </c>
      <c r="D312" s="1"/>
      <c r="E312" s="1"/>
      <c r="F312" s="1"/>
      <c r="G312" s="7">
        <f>COUNTIF(SheetTable02[Focal Document
Element],A312)</f>
        <v>4</v>
      </c>
      <c r="H312" s="7" t="str">
        <f>IF(A312=A311,"",_xlfn.TEXTJOIN(", ", TRUE, C312:INDEX(C:C, ROW(C312)+SheetTable02[[#This Row],[Column1]]-1)))</f>
        <v>PM-16
, RA-02, RA-03, RA-07</v>
      </c>
    </row>
    <row r="313" spans="1:8" ht="57.6">
      <c r="A313" s="1" t="s">
        <v>170</v>
      </c>
      <c r="B313" s="1" t="s">
        <v>172</v>
      </c>
      <c r="C313" s="1" t="s">
        <v>637</v>
      </c>
      <c r="D313" s="1"/>
      <c r="E313" s="1"/>
      <c r="F313" s="1"/>
      <c r="G313" s="7">
        <f>COUNTIF(SheetTable02[Focal Document
Element],A313)</f>
        <v>4</v>
      </c>
      <c r="H313" s="7" t="str">
        <f>IF(A313=A312,"",_xlfn.TEXTJOIN(", ", TRUE, C313:INDEX(C:C, ROW(C313)+SheetTable02[[#This Row],[Column1]]-1)))</f>
        <v/>
      </c>
    </row>
    <row r="314" spans="1:8" ht="57.6">
      <c r="A314" s="1" t="s">
        <v>170</v>
      </c>
      <c r="B314" s="1" t="s">
        <v>172</v>
      </c>
      <c r="C314" s="1" t="s">
        <v>442</v>
      </c>
      <c r="D314" s="1"/>
      <c r="E314" s="1"/>
      <c r="F314" s="1"/>
      <c r="G314" s="7">
        <f>COUNTIF(SheetTable02[Focal Document
Element],A314)</f>
        <v>4</v>
      </c>
      <c r="H314" s="7" t="str">
        <f>IF(A314=A313,"",_xlfn.TEXTJOIN(", ", TRUE, C314:INDEX(C:C, ROW(C314)+SheetTable02[[#This Row],[Column1]]-1)))</f>
        <v/>
      </c>
    </row>
    <row r="315" spans="1:8" ht="57.6">
      <c r="A315" s="1" t="s">
        <v>170</v>
      </c>
      <c r="B315" s="1" t="s">
        <v>172</v>
      </c>
      <c r="C315" s="1" t="s">
        <v>441</v>
      </c>
      <c r="D315" s="1"/>
      <c r="E315" s="1"/>
      <c r="F315" s="1"/>
      <c r="G315" s="7">
        <f>COUNTIF(SheetTable02[Focal Document
Element],A315)</f>
        <v>4</v>
      </c>
      <c r="H315" s="7" t="str">
        <f>IF(A315=A314,"",_xlfn.TEXTJOIN(", ", TRUE, C315:INDEX(C:C, ROW(C315)+SheetTable02[[#This Row],[Column1]]-1)))</f>
        <v/>
      </c>
    </row>
    <row r="316" spans="1:8" ht="28.8">
      <c r="A316" s="1" t="s">
        <v>174</v>
      </c>
      <c r="B316" s="1" t="s">
        <v>176</v>
      </c>
      <c r="C316" s="1" t="s">
        <v>636</v>
      </c>
      <c r="D316" s="1"/>
      <c r="E316" s="1"/>
      <c r="F316" s="1"/>
      <c r="G316" s="7">
        <f>COUNTIF(SheetTable02[Focal Document
Element],A316)</f>
        <v>4</v>
      </c>
      <c r="H316" s="7" t="str">
        <f>IF(A316=A315,"",_xlfn.TEXTJOIN(", ", TRUE, C316:INDEX(C:C, ROW(C316)+SheetTable02[[#This Row],[Column1]]-1)))</f>
        <v>PM-09
, PM-18, PM-30, RA-07</v>
      </c>
    </row>
    <row r="317" spans="1:8" ht="28.8">
      <c r="A317" s="1" t="s">
        <v>174</v>
      </c>
      <c r="B317" s="1" t="s">
        <v>176</v>
      </c>
      <c r="C317" s="1" t="s">
        <v>460</v>
      </c>
      <c r="D317" s="1"/>
      <c r="E317" s="1"/>
      <c r="F317" s="1"/>
      <c r="G317" s="7">
        <f>COUNTIF(SheetTable02[Focal Document
Element],A317)</f>
        <v>4</v>
      </c>
      <c r="H317" s="7" t="str">
        <f>IF(A317=A316,"",_xlfn.TEXTJOIN(", ", TRUE, C317:INDEX(C:C, ROW(C317)+SheetTable02[[#This Row],[Column1]]-1)))</f>
        <v/>
      </c>
    </row>
    <row r="318" spans="1:8" ht="28.8">
      <c r="A318" s="1" t="s">
        <v>174</v>
      </c>
      <c r="B318" s="1" t="s">
        <v>176</v>
      </c>
      <c r="C318" s="1" t="s">
        <v>458</v>
      </c>
      <c r="D318" s="1"/>
      <c r="E318" s="1"/>
      <c r="F318" s="1"/>
      <c r="G318" s="7">
        <f>COUNTIF(SheetTable02[Focal Document
Element],A318)</f>
        <v>4</v>
      </c>
      <c r="H318" s="7" t="str">
        <f>IF(A318=A317,"",_xlfn.TEXTJOIN(", ", TRUE, C318:INDEX(C:C, ROW(C318)+SheetTable02[[#This Row],[Column1]]-1)))</f>
        <v/>
      </c>
    </row>
    <row r="319" spans="1:8" ht="28.8">
      <c r="A319" s="1" t="s">
        <v>174</v>
      </c>
      <c r="B319" s="1" t="s">
        <v>176</v>
      </c>
      <c r="C319" s="1" t="s">
        <v>441</v>
      </c>
      <c r="D319" s="1"/>
      <c r="E319" s="1"/>
      <c r="F319" s="1"/>
      <c r="G319" s="7">
        <f>COUNTIF(SheetTable02[Focal Document
Element],A319)</f>
        <v>4</v>
      </c>
      <c r="H319" s="7" t="str">
        <f>IF(A319=A318,"",_xlfn.TEXTJOIN(", ", TRUE, C319:INDEX(C:C, ROW(C319)+SheetTable02[[#This Row],[Column1]]-1)))</f>
        <v/>
      </c>
    </row>
    <row r="320" spans="1:8" ht="43.2">
      <c r="A320" s="1" t="s">
        <v>178</v>
      </c>
      <c r="B320" s="1" t="s">
        <v>180</v>
      </c>
      <c r="C320" s="1" t="s">
        <v>635</v>
      </c>
      <c r="D320" s="1"/>
      <c r="E320" s="1"/>
      <c r="F320" s="1"/>
      <c r="G320" s="7">
        <f>COUNTIF(SheetTable02[Focal Document
Element],A320)</f>
        <v>3</v>
      </c>
      <c r="H320" s="7" t="str">
        <f>IF(A320=A319,"",_xlfn.TEXTJOIN(", ", TRUE, C320:INDEX(C:C, ROW(C320)+SheetTable02[[#This Row],[Column1]]-1)))</f>
        <v>CA-07
, CM-03, CM-04</v>
      </c>
    </row>
    <row r="321" spans="1:8" ht="43.2">
      <c r="A321" s="1" t="s">
        <v>178</v>
      </c>
      <c r="B321" s="1" t="s">
        <v>180</v>
      </c>
      <c r="C321" s="1" t="s">
        <v>472</v>
      </c>
      <c r="D321" s="1"/>
      <c r="E321" s="1"/>
      <c r="F321" s="1"/>
      <c r="G321" s="7">
        <f>COUNTIF(SheetTable02[Focal Document
Element],A321)</f>
        <v>3</v>
      </c>
      <c r="H321" s="7" t="str">
        <f>IF(A321=A320,"",_xlfn.TEXTJOIN(", ", TRUE, C321:INDEX(C:C, ROW(C321)+SheetTable02[[#This Row],[Column1]]-1)))</f>
        <v/>
      </c>
    </row>
    <row r="322" spans="1:8" ht="43.2">
      <c r="A322" s="1" t="s">
        <v>178</v>
      </c>
      <c r="B322" s="1" t="s">
        <v>180</v>
      </c>
      <c r="C322" s="1" t="s">
        <v>539</v>
      </c>
      <c r="D322" s="1"/>
      <c r="E322" s="1"/>
      <c r="F322" s="1"/>
      <c r="G322" s="7">
        <f>COUNTIF(SheetTable02[Focal Document
Element],A322)</f>
        <v>3</v>
      </c>
      <c r="H322" s="7" t="str">
        <f>IF(A322=A321,"",_xlfn.TEXTJOIN(", ", TRUE, C322:INDEX(C:C, ROW(C322)+SheetTable02[[#This Row],[Column1]]-1)))</f>
        <v/>
      </c>
    </row>
    <row r="323" spans="1:8" ht="43.2">
      <c r="A323" s="1" t="s">
        <v>182</v>
      </c>
      <c r="B323" s="1" t="s">
        <v>184</v>
      </c>
      <c r="C323" s="1" t="s">
        <v>605</v>
      </c>
      <c r="D323" s="1"/>
      <c r="E323" s="1"/>
      <c r="F323" s="1"/>
      <c r="G323" s="7">
        <f>COUNTIF(SheetTable02[Focal Document
Element],A323)</f>
        <v>1</v>
      </c>
      <c r="H323" s="7" t="str">
        <f>IF(A323=A322,"",_xlfn.TEXTJOIN(", ", TRUE, C323:INDEX(C:C, ROW(C323)+SheetTable02[[#This Row],[Column1]]-1)))</f>
        <v>RA-05</v>
      </c>
    </row>
    <row r="324" spans="1:8" ht="43.2">
      <c r="A324" s="1" t="s">
        <v>186</v>
      </c>
      <c r="B324" s="1" t="s">
        <v>188</v>
      </c>
      <c r="C324" s="1" t="s">
        <v>477</v>
      </c>
      <c r="D324" s="1"/>
      <c r="E324" s="1"/>
      <c r="F324" s="1"/>
      <c r="G324" s="7">
        <f>COUNTIF(SheetTable02[Focal Document
Element],A324)</f>
        <v>11</v>
      </c>
      <c r="H324" s="7" t="str">
        <f>IF(A324=A323,"",_xlfn.TEXTJOIN(", ", TRUE, C324:INDEX(C:C, ROW(C324)+SheetTable02[[#This Row],[Column1]]-1)))</f>
        <v>SA-04, SA-05, SA-10, SA-11, SA-15, SA-17, SI-07, SR-05, SR-06, SR-10, SR-11</v>
      </c>
    </row>
    <row r="325" spans="1:8" ht="43.2">
      <c r="A325" s="1" t="s">
        <v>186</v>
      </c>
      <c r="B325" s="1" t="s">
        <v>188</v>
      </c>
      <c r="C325" s="1" t="s">
        <v>634</v>
      </c>
      <c r="D325" s="1"/>
      <c r="E325" s="1"/>
      <c r="F325" s="1"/>
      <c r="G325" s="7">
        <f>COUNTIF(SheetTable02[Focal Document
Element],A325)</f>
        <v>11</v>
      </c>
      <c r="H325" s="7" t="str">
        <f>IF(A325=A324,"",_xlfn.TEXTJOIN(", ", TRUE, C325:INDEX(C:C, ROW(C325)+SheetTable02[[#This Row],[Column1]]-1)))</f>
        <v/>
      </c>
    </row>
    <row r="326" spans="1:8" ht="43.2">
      <c r="A326" s="1" t="s">
        <v>186</v>
      </c>
      <c r="B326" s="1" t="s">
        <v>188</v>
      </c>
      <c r="C326" s="1" t="s">
        <v>518</v>
      </c>
      <c r="D326" s="1"/>
      <c r="E326" s="1"/>
      <c r="F326" s="1"/>
      <c r="G326" s="7">
        <f>COUNTIF(SheetTable02[Focal Document
Element],A326)</f>
        <v>11</v>
      </c>
      <c r="H326" s="7" t="str">
        <f>IF(A326=A325,"",_xlfn.TEXTJOIN(", ", TRUE, C326:INDEX(C:C, ROW(C326)+SheetTable02[[#This Row],[Column1]]-1)))</f>
        <v/>
      </c>
    </row>
    <row r="327" spans="1:8" ht="43.2">
      <c r="A327" s="1" t="s">
        <v>186</v>
      </c>
      <c r="B327" s="1" t="s">
        <v>188</v>
      </c>
      <c r="C327" s="1" t="s">
        <v>517</v>
      </c>
      <c r="D327" s="1"/>
      <c r="E327" s="1"/>
      <c r="F327" s="1"/>
      <c r="G327" s="7">
        <f>COUNTIF(SheetTable02[Focal Document
Element],A327)</f>
        <v>11</v>
      </c>
      <c r="H327" s="7" t="str">
        <f>IF(A327=A326,"",_xlfn.TEXTJOIN(", ", TRUE, C327:INDEX(C:C, ROW(C327)+SheetTable02[[#This Row],[Column1]]-1)))</f>
        <v/>
      </c>
    </row>
    <row r="328" spans="1:8" ht="43.2">
      <c r="A328" s="1" t="s">
        <v>186</v>
      </c>
      <c r="B328" s="1" t="s">
        <v>188</v>
      </c>
      <c r="C328" s="1" t="s">
        <v>516</v>
      </c>
      <c r="D328" s="1"/>
      <c r="E328" s="1"/>
      <c r="F328" s="1"/>
      <c r="G328" s="7">
        <f>COUNTIF(SheetTable02[Focal Document
Element],A328)</f>
        <v>11</v>
      </c>
      <c r="H328" s="7" t="str">
        <f>IF(A328=A327,"",_xlfn.TEXTJOIN(", ", TRUE, C328:INDEX(C:C, ROW(C328)+SheetTable02[[#This Row],[Column1]]-1)))</f>
        <v/>
      </c>
    </row>
    <row r="329" spans="1:8" ht="43.2">
      <c r="A329" s="1" t="s">
        <v>186</v>
      </c>
      <c r="B329" s="1" t="s">
        <v>188</v>
      </c>
      <c r="C329" s="1" t="s">
        <v>515</v>
      </c>
      <c r="D329" s="1"/>
      <c r="E329" s="1"/>
      <c r="F329" s="1"/>
      <c r="G329" s="7">
        <f>COUNTIF(SheetTable02[Focal Document
Element],A329)</f>
        <v>11</v>
      </c>
      <c r="H329" s="7" t="str">
        <f>IF(A329=A328,"",_xlfn.TEXTJOIN(", ", TRUE, C329:INDEX(C:C, ROW(C329)+SheetTable02[[#This Row],[Column1]]-1)))</f>
        <v/>
      </c>
    </row>
    <row r="330" spans="1:8" ht="43.2">
      <c r="A330" s="1" t="s">
        <v>186</v>
      </c>
      <c r="B330" s="1" t="s">
        <v>188</v>
      </c>
      <c r="C330" s="1" t="s">
        <v>466</v>
      </c>
      <c r="D330" s="1"/>
      <c r="E330" s="1"/>
      <c r="F330" s="1"/>
      <c r="G330" s="7">
        <f>COUNTIF(SheetTable02[Focal Document
Element],A330)</f>
        <v>11</v>
      </c>
      <c r="H330" s="7" t="str">
        <f>IF(A330=A329,"",_xlfn.TEXTJOIN(", ", TRUE, C330:INDEX(C:C, ROW(C330)+SheetTable02[[#This Row],[Column1]]-1)))</f>
        <v/>
      </c>
    </row>
    <row r="331" spans="1:8" ht="43.2">
      <c r="A331" s="1" t="s">
        <v>186</v>
      </c>
      <c r="B331" s="1" t="s">
        <v>188</v>
      </c>
      <c r="C331" s="1" t="s">
        <v>604</v>
      </c>
      <c r="D331" s="1"/>
      <c r="E331" s="1"/>
      <c r="F331" s="1"/>
      <c r="G331" s="7">
        <f>COUNTIF(SheetTable02[Focal Document
Element],A331)</f>
        <v>11</v>
      </c>
      <c r="H331" s="7" t="str">
        <f>IF(A331=A330,"",_xlfn.TEXTJOIN(", ", TRUE, C331:INDEX(C:C, ROW(C331)+SheetTable02[[#This Row],[Column1]]-1)))</f>
        <v/>
      </c>
    </row>
    <row r="332" spans="1:8" ht="43.2">
      <c r="A332" s="1" t="s">
        <v>186</v>
      </c>
      <c r="B332" s="1" t="s">
        <v>188</v>
      </c>
      <c r="C332" s="1" t="s">
        <v>631</v>
      </c>
      <c r="D332" s="1"/>
      <c r="E332" s="1"/>
      <c r="F332" s="1"/>
      <c r="G332" s="7">
        <f>COUNTIF(SheetTable02[Focal Document
Element],A332)</f>
        <v>11</v>
      </c>
      <c r="H332" s="7" t="str">
        <f>IF(A332=A331,"",_xlfn.TEXTJOIN(", ", TRUE, C332:INDEX(C:C, ROW(C332)+SheetTable02[[#This Row],[Column1]]-1)))</f>
        <v/>
      </c>
    </row>
    <row r="333" spans="1:8" ht="43.2">
      <c r="A333" s="1" t="s">
        <v>186</v>
      </c>
      <c r="B333" s="1" t="s">
        <v>188</v>
      </c>
      <c r="C333" s="1" t="s">
        <v>633</v>
      </c>
      <c r="D333" s="1"/>
      <c r="E333" s="1"/>
      <c r="F333" s="1"/>
      <c r="G333" s="7">
        <f>COUNTIF(SheetTable02[Focal Document
Element],A333)</f>
        <v>11</v>
      </c>
      <c r="H333" s="7" t="str">
        <f>IF(A333=A332,"",_xlfn.TEXTJOIN(", ", TRUE, C333:INDEX(C:C, ROW(C333)+SheetTable02[[#This Row],[Column1]]-1)))</f>
        <v/>
      </c>
    </row>
    <row r="334" spans="1:8" ht="43.2">
      <c r="A334" s="1" t="s">
        <v>186</v>
      </c>
      <c r="B334" s="1" t="s">
        <v>188</v>
      </c>
      <c r="C334" s="1" t="s">
        <v>632</v>
      </c>
      <c r="D334" s="1"/>
      <c r="E334" s="1"/>
      <c r="F334" s="1"/>
      <c r="G334" s="7">
        <f>COUNTIF(SheetTable02[Focal Document
Element],A334)</f>
        <v>11</v>
      </c>
      <c r="H334" s="7" t="str">
        <f>IF(A334=A333,"",_xlfn.TEXTJOIN(", ", TRUE, C334:INDEX(C:C, ROW(C334)+SheetTable02[[#This Row],[Column1]]-1)))</f>
        <v/>
      </c>
    </row>
    <row r="335" spans="1:8" ht="28.8">
      <c r="A335" s="1" t="s">
        <v>190</v>
      </c>
      <c r="B335" s="1" t="s">
        <v>191</v>
      </c>
      <c r="C335" s="1" t="s">
        <v>631</v>
      </c>
      <c r="D335" s="1"/>
      <c r="E335" s="1"/>
      <c r="F335" s="1"/>
      <c r="G335" s="7">
        <f>COUNTIF(SheetTable02[Focal Document
Element],A335)</f>
        <v>1</v>
      </c>
      <c r="H335" s="7" t="str">
        <f>IF(A335=A334,"",_xlfn.TEXTJOIN(", ", TRUE, C335:INDEX(C:C, ROW(C335)+SheetTable02[[#This Row],[Column1]]-1)))</f>
        <v>SR-06</v>
      </c>
    </row>
    <row r="336" spans="1:8" ht="57.6">
      <c r="A336" s="1" t="s">
        <v>630</v>
      </c>
      <c r="B336" s="1" t="s">
        <v>629</v>
      </c>
      <c r="C336" s="1"/>
      <c r="D336" s="1"/>
      <c r="E336" s="1"/>
      <c r="F336" s="1"/>
      <c r="G336" s="7">
        <f>COUNTIF(SheetTable02[Focal Document
Element],A336)</f>
        <v>1</v>
      </c>
      <c r="H336" s="7" t="str">
        <f>IF(A336=A335,"",_xlfn.TEXTJOIN(", ", TRUE, C336:INDEX(C:C, ROW(C336)+SheetTable02[[#This Row],[Column1]]-1)))</f>
        <v/>
      </c>
    </row>
    <row r="337" spans="1:8" ht="28.8">
      <c r="A337" s="1" t="s">
        <v>193</v>
      </c>
      <c r="B337" s="1" t="s">
        <v>194</v>
      </c>
      <c r="C337" s="1" t="s">
        <v>596</v>
      </c>
      <c r="D337" s="1"/>
      <c r="E337" s="1"/>
      <c r="F337" s="1"/>
      <c r="G337" s="7">
        <f>COUNTIF(SheetTable02[Focal Document
Element],A337)</f>
        <v>37</v>
      </c>
      <c r="H337" s="7" t="str">
        <f>IF(A337=A336,"",_xlfn.TEXTJOIN(", ", TRUE, C337:INDEX(C:C, ROW(C337)+SheetTable02[[#This Row],[Column1]]-1)))</f>
        <v>AC-01
, AT-01, AU-01, CA-01, CM-01, CP-01, IA-01, IR-01, MA-01, MP-01, PE-01, PL-01, PM-01, PS-01, PT-01, RA-01, SA-01, SC-01, SI-01, SR-01, CA-02, CA-05, CA-07, CA-08, CP-02
, IR-04, IR-08, PL-02, RA-03, RA-05, RA-07, SA-08, SA-11, SA-17(06), SI-02, SI-04, SR-05</v>
      </c>
    </row>
    <row r="338" spans="1:8" ht="28.8">
      <c r="A338" s="1" t="s">
        <v>193</v>
      </c>
      <c r="B338" s="1" t="s">
        <v>194</v>
      </c>
      <c r="C338" s="1" t="s">
        <v>626</v>
      </c>
      <c r="D338" s="1"/>
      <c r="E338" s="1"/>
      <c r="F338" s="1"/>
      <c r="G338" s="7">
        <f>COUNTIF(SheetTable02[Focal Document
Element],A338)</f>
        <v>37</v>
      </c>
      <c r="H338" s="7" t="str">
        <f>IF(A338=A337,"",_xlfn.TEXTJOIN(", ", TRUE, C338:INDEX(C:C, ROW(C338)+SheetTable02[[#This Row],[Column1]]-1)))</f>
        <v/>
      </c>
    </row>
    <row r="339" spans="1:8" ht="28.8">
      <c r="A339" s="1" t="s">
        <v>193</v>
      </c>
      <c r="B339" s="1" t="s">
        <v>194</v>
      </c>
      <c r="C339" s="1" t="s">
        <v>625</v>
      </c>
      <c r="D339" s="1"/>
      <c r="E339" s="1"/>
      <c r="F339" s="1"/>
      <c r="G339" s="7">
        <f>COUNTIF(SheetTable02[Focal Document
Element],A339)</f>
        <v>37</v>
      </c>
      <c r="H339" s="7" t="str">
        <f>IF(A339=A338,"",_xlfn.TEXTJOIN(", ", TRUE, C339:INDEX(C:C, ROW(C339)+SheetTable02[[#This Row],[Column1]]-1)))</f>
        <v/>
      </c>
    </row>
    <row r="340" spans="1:8" ht="28.8">
      <c r="A340" s="1" t="s">
        <v>193</v>
      </c>
      <c r="B340" s="1" t="s">
        <v>194</v>
      </c>
      <c r="C340" s="1" t="s">
        <v>624</v>
      </c>
      <c r="D340" s="1"/>
      <c r="E340" s="1"/>
      <c r="F340" s="1"/>
      <c r="G340" s="7">
        <f>COUNTIF(SheetTable02[Focal Document
Element],A340)</f>
        <v>37</v>
      </c>
      <c r="H340" s="7" t="str">
        <f>IF(A340=A339,"",_xlfn.TEXTJOIN(", ", TRUE, C340:INDEX(C:C, ROW(C340)+SheetTable02[[#This Row],[Column1]]-1)))</f>
        <v/>
      </c>
    </row>
    <row r="341" spans="1:8" ht="28.8">
      <c r="A341" s="1" t="s">
        <v>193</v>
      </c>
      <c r="B341" s="1" t="s">
        <v>194</v>
      </c>
      <c r="C341" s="1" t="s">
        <v>541</v>
      </c>
      <c r="D341" s="1"/>
      <c r="E341" s="1"/>
      <c r="F341" s="1"/>
      <c r="G341" s="7">
        <f>COUNTIF(SheetTable02[Focal Document
Element],A341)</f>
        <v>37</v>
      </c>
      <c r="H341" s="7" t="str">
        <f>IF(A341=A340,"",_xlfn.TEXTJOIN(", ", TRUE, C341:INDEX(C:C, ROW(C341)+SheetTable02[[#This Row],[Column1]]-1)))</f>
        <v/>
      </c>
    </row>
    <row r="342" spans="1:8" ht="28.8">
      <c r="A342" s="1" t="s">
        <v>193</v>
      </c>
      <c r="B342" s="1" t="s">
        <v>194</v>
      </c>
      <c r="C342" s="1" t="s">
        <v>623</v>
      </c>
      <c r="D342" s="1"/>
      <c r="E342" s="1"/>
      <c r="F342" s="1"/>
      <c r="G342" s="7">
        <f>COUNTIF(SheetTable02[Focal Document
Element],A342)</f>
        <v>37</v>
      </c>
      <c r="H342" s="7" t="str">
        <f>IF(A342=A341,"",_xlfn.TEXTJOIN(", ", TRUE, C342:INDEX(C:C, ROW(C342)+SheetTable02[[#This Row],[Column1]]-1)))</f>
        <v/>
      </c>
    </row>
    <row r="343" spans="1:8" ht="28.8">
      <c r="A343" s="1" t="s">
        <v>193</v>
      </c>
      <c r="B343" s="1" t="s">
        <v>194</v>
      </c>
      <c r="C343" s="1" t="s">
        <v>594</v>
      </c>
      <c r="D343" s="1"/>
      <c r="E343" s="1"/>
      <c r="F343" s="1"/>
      <c r="G343" s="7">
        <f>COUNTIF(SheetTable02[Focal Document
Element],A343)</f>
        <v>37</v>
      </c>
      <c r="H343" s="7" t="str">
        <f>IF(A343=A342,"",_xlfn.TEXTJOIN(", ", TRUE, C343:INDEX(C:C, ROW(C343)+SheetTable02[[#This Row],[Column1]]-1)))</f>
        <v/>
      </c>
    </row>
    <row r="344" spans="1:8" ht="28.8">
      <c r="A344" s="1" t="s">
        <v>193</v>
      </c>
      <c r="B344" s="1" t="s">
        <v>194</v>
      </c>
      <c r="C344" s="1" t="s">
        <v>424</v>
      </c>
      <c r="D344" s="1"/>
      <c r="E344" s="1"/>
      <c r="F344" s="1"/>
      <c r="G344" s="7">
        <f>COUNTIF(SheetTable02[Focal Document
Element],A344)</f>
        <v>37</v>
      </c>
      <c r="H344" s="7" t="str">
        <f>IF(A344=A343,"",_xlfn.TEXTJOIN(", ", TRUE, C344:INDEX(C:C, ROW(C344)+SheetTable02[[#This Row],[Column1]]-1)))</f>
        <v/>
      </c>
    </row>
    <row r="345" spans="1:8" ht="28.8">
      <c r="A345" s="1" t="s">
        <v>193</v>
      </c>
      <c r="B345" s="1" t="s">
        <v>194</v>
      </c>
      <c r="C345" s="1" t="s">
        <v>622</v>
      </c>
      <c r="D345" s="1"/>
      <c r="E345" s="1"/>
      <c r="F345" s="1"/>
      <c r="G345" s="7">
        <f>COUNTIF(SheetTable02[Focal Document
Element],A345)</f>
        <v>37</v>
      </c>
      <c r="H345" s="7" t="str">
        <f>IF(A345=A344,"",_xlfn.TEXTJOIN(", ", TRUE, C345:INDEX(C:C, ROW(C345)+SheetTable02[[#This Row],[Column1]]-1)))</f>
        <v/>
      </c>
    </row>
    <row r="346" spans="1:8" ht="28.8">
      <c r="A346" s="1" t="s">
        <v>193</v>
      </c>
      <c r="B346" s="1" t="s">
        <v>194</v>
      </c>
      <c r="C346" s="1" t="s">
        <v>621</v>
      </c>
      <c r="D346" s="1"/>
      <c r="E346" s="1"/>
      <c r="F346" s="1"/>
      <c r="G346" s="7">
        <f>COUNTIF(SheetTable02[Focal Document
Element],A346)</f>
        <v>37</v>
      </c>
      <c r="H346" s="7" t="str">
        <f>IF(A346=A345,"",_xlfn.TEXTJOIN(", ", TRUE, C346:INDEX(C:C, ROW(C346)+SheetTable02[[#This Row],[Column1]]-1)))</f>
        <v/>
      </c>
    </row>
    <row r="347" spans="1:8" ht="28.8">
      <c r="A347" s="1" t="s">
        <v>193</v>
      </c>
      <c r="B347" s="1" t="s">
        <v>194</v>
      </c>
      <c r="C347" s="1" t="s">
        <v>620</v>
      </c>
      <c r="D347" s="1"/>
      <c r="E347" s="1"/>
      <c r="F347" s="1"/>
      <c r="G347" s="7">
        <f>COUNTIF(SheetTable02[Focal Document
Element],A347)</f>
        <v>37</v>
      </c>
      <c r="H347" s="7" t="str">
        <f>IF(A347=A346,"",_xlfn.TEXTJOIN(", ", TRUE, C347:INDEX(C:C, ROW(C347)+SheetTable02[[#This Row],[Column1]]-1)))</f>
        <v/>
      </c>
    </row>
    <row r="348" spans="1:8" ht="28.8">
      <c r="A348" s="1" t="s">
        <v>193</v>
      </c>
      <c r="B348" s="1" t="s">
        <v>194</v>
      </c>
      <c r="C348" s="1" t="s">
        <v>619</v>
      </c>
      <c r="G348" s="7">
        <f>COUNTIF(SheetTable02[Focal Document
Element],A348)</f>
        <v>37</v>
      </c>
      <c r="H348" s="7" t="str">
        <f>IF(A348=A347,"",_xlfn.TEXTJOIN(", ", TRUE, C348:INDEX(C:C, ROW(C348)+SheetTable02[[#This Row],[Column1]]-1)))</f>
        <v/>
      </c>
    </row>
    <row r="349" spans="1:8" ht="28.8">
      <c r="A349" s="1" t="s">
        <v>193</v>
      </c>
      <c r="B349" s="1" t="s">
        <v>194</v>
      </c>
      <c r="C349" s="1" t="s">
        <v>618</v>
      </c>
      <c r="D349" s="2"/>
      <c r="E349" s="2"/>
      <c r="F349" s="2"/>
      <c r="G349" s="7">
        <f>COUNTIF(SheetTable02[Focal Document
Element],A349)</f>
        <v>37</v>
      </c>
      <c r="H349" s="7" t="str">
        <f>IF(A349=A348,"",_xlfn.TEXTJOIN(", ", TRUE, C349:INDEX(C:C, ROW(C349)+SheetTable02[[#This Row],[Column1]]-1)))</f>
        <v/>
      </c>
    </row>
    <row r="350" spans="1:8" ht="28.8">
      <c r="A350" s="1" t="s">
        <v>193</v>
      </c>
      <c r="B350" s="1" t="s">
        <v>194</v>
      </c>
      <c r="C350" s="1" t="s">
        <v>617</v>
      </c>
      <c r="D350" s="2"/>
      <c r="E350" s="2"/>
      <c r="F350" s="2"/>
      <c r="G350" s="7">
        <f>COUNTIF(SheetTable02[Focal Document
Element],A350)</f>
        <v>37</v>
      </c>
      <c r="H350" s="7" t="str">
        <f>IF(A350=A349,"",_xlfn.TEXTJOIN(", ", TRUE, C350:INDEX(C:C, ROW(C350)+SheetTable02[[#This Row],[Column1]]-1)))</f>
        <v/>
      </c>
    </row>
    <row r="351" spans="1:8" ht="28.8">
      <c r="A351" s="1" t="s">
        <v>193</v>
      </c>
      <c r="B351" s="1" t="s">
        <v>194</v>
      </c>
      <c r="C351" s="1" t="s">
        <v>616</v>
      </c>
      <c r="D351" s="2"/>
      <c r="E351" s="2"/>
      <c r="F351" s="2"/>
      <c r="G351" s="7">
        <f>COUNTIF(SheetTable02[Focal Document
Element],A351)</f>
        <v>37</v>
      </c>
      <c r="H351" s="7" t="str">
        <f>IF(A351=A350,"",_xlfn.TEXTJOIN(", ", TRUE, C351:INDEX(C:C, ROW(C351)+SheetTable02[[#This Row],[Column1]]-1)))</f>
        <v/>
      </c>
    </row>
    <row r="352" spans="1:8" ht="28.8">
      <c r="A352" s="1" t="s">
        <v>193</v>
      </c>
      <c r="B352" s="1" t="s">
        <v>194</v>
      </c>
      <c r="C352" s="1" t="s">
        <v>615</v>
      </c>
      <c r="D352" s="2"/>
      <c r="E352" s="2"/>
      <c r="F352" s="2"/>
      <c r="G352" s="7">
        <f>COUNTIF(SheetTable02[Focal Document
Element],A352)</f>
        <v>37</v>
      </c>
      <c r="H352" s="7" t="str">
        <f>IF(A352=A351,"",_xlfn.TEXTJOIN(", ", TRUE, C352:INDEX(C:C, ROW(C352)+SheetTable02[[#This Row],[Column1]]-1)))</f>
        <v/>
      </c>
    </row>
    <row r="353" spans="1:8" ht="28.8">
      <c r="A353" s="1" t="s">
        <v>193</v>
      </c>
      <c r="B353" s="1" t="s">
        <v>194</v>
      </c>
      <c r="C353" s="1" t="s">
        <v>614</v>
      </c>
      <c r="D353" s="2"/>
      <c r="E353" s="2"/>
      <c r="F353" s="2"/>
      <c r="G353" s="7">
        <f>COUNTIF(SheetTable02[Focal Document
Element],A353)</f>
        <v>37</v>
      </c>
      <c r="H353" s="7" t="str">
        <f>IF(A353=A352,"",_xlfn.TEXTJOIN(", ", TRUE, C353:INDEX(C:C, ROW(C353)+SheetTable02[[#This Row],[Column1]]-1)))</f>
        <v/>
      </c>
    </row>
    <row r="354" spans="1:8" ht="28.8">
      <c r="A354" s="1" t="s">
        <v>193</v>
      </c>
      <c r="B354" s="1" t="s">
        <v>194</v>
      </c>
      <c r="C354" s="1" t="s">
        <v>613</v>
      </c>
      <c r="D354" s="2"/>
      <c r="E354" s="2"/>
      <c r="F354" s="2"/>
      <c r="G354" s="7">
        <f>COUNTIF(SheetTable02[Focal Document
Element],A354)</f>
        <v>37</v>
      </c>
      <c r="H354" s="7" t="str">
        <f>IF(A354=A353,"",_xlfn.TEXTJOIN(", ", TRUE, C354:INDEX(C:C, ROW(C354)+SheetTable02[[#This Row],[Column1]]-1)))</f>
        <v/>
      </c>
    </row>
    <row r="355" spans="1:8" ht="28.8">
      <c r="A355" s="1" t="s">
        <v>193</v>
      </c>
      <c r="B355" s="1" t="s">
        <v>194</v>
      </c>
      <c r="C355" s="1" t="s">
        <v>612</v>
      </c>
      <c r="D355" s="2"/>
      <c r="E355" s="2"/>
      <c r="F355" s="2"/>
      <c r="G355" s="7">
        <f>COUNTIF(SheetTable02[Focal Document
Element],A355)</f>
        <v>37</v>
      </c>
      <c r="H355" s="7" t="str">
        <f>IF(A355=A354,"",_xlfn.TEXTJOIN(", ", TRUE, C355:INDEX(C:C, ROW(C355)+SheetTable02[[#This Row],[Column1]]-1)))</f>
        <v/>
      </c>
    </row>
    <row r="356" spans="1:8" ht="28.8">
      <c r="A356" s="1" t="s">
        <v>193</v>
      </c>
      <c r="B356" s="1" t="s">
        <v>194</v>
      </c>
      <c r="C356" s="1" t="s">
        <v>611</v>
      </c>
      <c r="D356" s="2"/>
      <c r="E356" s="2"/>
      <c r="F356" s="2"/>
      <c r="G356" s="7">
        <f>COUNTIF(SheetTable02[Focal Document
Element],A356)</f>
        <v>37</v>
      </c>
      <c r="H356" s="7" t="str">
        <f>IF(A356=A355,"",_xlfn.TEXTJOIN(", ", TRUE, C356:INDEX(C:C, ROW(C356)+SheetTable02[[#This Row],[Column1]]-1)))</f>
        <v/>
      </c>
    </row>
    <row r="357" spans="1:8" ht="28.8">
      <c r="A357" s="1" t="s">
        <v>193</v>
      </c>
      <c r="B357" s="1" t="s">
        <v>194</v>
      </c>
      <c r="C357" s="3" t="s">
        <v>610</v>
      </c>
      <c r="D357" s="2"/>
      <c r="E357" s="2"/>
      <c r="F357" s="2"/>
      <c r="G357" s="7">
        <f>COUNTIF(SheetTable02[Focal Document
Element],A357)</f>
        <v>37</v>
      </c>
      <c r="H357" s="7" t="str">
        <f>IF(A357=A356,"",_xlfn.TEXTJOIN(", ", TRUE, C357:INDEX(C:C, ROW(C357)+SheetTable02[[#This Row],[Column1]]-1)))</f>
        <v/>
      </c>
    </row>
    <row r="358" spans="1:8" ht="28.8">
      <c r="A358" s="1" t="s">
        <v>193</v>
      </c>
      <c r="B358" s="1" t="s">
        <v>194</v>
      </c>
      <c r="C358" s="2" t="s">
        <v>609</v>
      </c>
      <c r="D358" s="2"/>
      <c r="E358" s="2"/>
      <c r="F358" s="2"/>
      <c r="G358" s="7">
        <f>COUNTIF(SheetTable02[Focal Document
Element],A358)</f>
        <v>37</v>
      </c>
      <c r="H358" s="7" t="str">
        <f>IF(A358=A357,"",_xlfn.TEXTJOIN(", ", TRUE, C358:INDEX(C:C, ROW(C358)+SheetTable02[[#This Row],[Column1]]-1)))</f>
        <v/>
      </c>
    </row>
    <row r="359" spans="1:8" ht="28.8">
      <c r="A359" s="1" t="s">
        <v>193</v>
      </c>
      <c r="B359" s="1" t="s">
        <v>194</v>
      </c>
      <c r="C359" s="2" t="s">
        <v>462</v>
      </c>
      <c r="D359" s="2"/>
      <c r="E359" s="2"/>
      <c r="F359" s="2"/>
      <c r="G359" s="7">
        <f>COUNTIF(SheetTable02[Focal Document
Element],A359)</f>
        <v>37</v>
      </c>
      <c r="H359" s="7" t="str">
        <f>IF(A359=A358,"",_xlfn.TEXTJOIN(", ", TRUE, C359:INDEX(C:C, ROW(C359)+SheetTable02[[#This Row],[Column1]]-1)))</f>
        <v/>
      </c>
    </row>
    <row r="360" spans="1:8" ht="28.8">
      <c r="A360" s="1" t="s">
        <v>193</v>
      </c>
      <c r="B360" s="1" t="s">
        <v>194</v>
      </c>
      <c r="C360" s="2" t="s">
        <v>608</v>
      </c>
      <c r="D360" s="2"/>
      <c r="E360" s="2"/>
      <c r="F360" s="2"/>
      <c r="G360" s="7">
        <f>COUNTIF(SheetTable02[Focal Document
Element],A360)</f>
        <v>37</v>
      </c>
      <c r="H360" s="7" t="str">
        <f>IF(A360=A359,"",_xlfn.TEXTJOIN(", ", TRUE, C360:INDEX(C:C, ROW(C360)+SheetTable02[[#This Row],[Column1]]-1)))</f>
        <v/>
      </c>
    </row>
    <row r="361" spans="1:8" ht="28.8">
      <c r="A361" s="1" t="s">
        <v>193</v>
      </c>
      <c r="B361" s="1" t="s">
        <v>194</v>
      </c>
      <c r="C361" s="3" t="s">
        <v>603</v>
      </c>
      <c r="D361" s="2"/>
      <c r="E361" s="2"/>
      <c r="F361" s="2"/>
      <c r="G361" s="7">
        <f>COUNTIF(SheetTable02[Focal Document
Element],A361)</f>
        <v>37</v>
      </c>
      <c r="H361" s="7" t="str">
        <f>IF(A361=A360,"",_xlfn.TEXTJOIN(", ", TRUE, C361:INDEX(C:C, ROW(C361)+SheetTable02[[#This Row],[Column1]]-1)))</f>
        <v/>
      </c>
    </row>
    <row r="362" spans="1:8" ht="28.8">
      <c r="A362" s="1" t="s">
        <v>193</v>
      </c>
      <c r="B362" s="1" t="s">
        <v>194</v>
      </c>
      <c r="C362" s="1" t="s">
        <v>416</v>
      </c>
      <c r="D362" s="1"/>
      <c r="E362" s="1"/>
      <c r="F362" s="1"/>
      <c r="G362" s="7">
        <f>COUNTIF(SheetTable02[Focal Document
Element],A362)</f>
        <v>37</v>
      </c>
      <c r="H362" s="7" t="str">
        <f>IF(A362=A361,"",_xlfn.TEXTJOIN(", ", TRUE, C362:INDEX(C:C, ROW(C362)+SheetTable02[[#This Row],[Column1]]-1)))</f>
        <v/>
      </c>
    </row>
    <row r="363" spans="1:8" ht="28.8">
      <c r="A363" s="1" t="s">
        <v>193</v>
      </c>
      <c r="B363" s="1" t="s">
        <v>194</v>
      </c>
      <c r="C363" s="1" t="s">
        <v>422</v>
      </c>
      <c r="D363" s="1"/>
      <c r="E363" s="1"/>
      <c r="F363" s="1"/>
      <c r="G363" s="7">
        <f>COUNTIF(SheetTable02[Focal Document
Element],A363)</f>
        <v>37</v>
      </c>
      <c r="H363" s="7" t="str">
        <f>IF(A363=A362,"",_xlfn.TEXTJOIN(", ", TRUE, C363:INDEX(C:C, ROW(C363)+SheetTable02[[#This Row],[Column1]]-1)))</f>
        <v/>
      </c>
    </row>
    <row r="364" spans="1:8" ht="28.8">
      <c r="A364" s="1" t="s">
        <v>193</v>
      </c>
      <c r="B364" s="1" t="s">
        <v>194</v>
      </c>
      <c r="C364" s="1" t="s">
        <v>602</v>
      </c>
      <c r="D364" s="1"/>
      <c r="E364" s="1"/>
      <c r="F364" s="1"/>
      <c r="G364" s="7">
        <f>COUNTIF(SheetTable02[Focal Document
Element],A364)</f>
        <v>37</v>
      </c>
      <c r="H364" s="7" t="str">
        <f>IF(A364=A363,"",_xlfn.TEXTJOIN(", ", TRUE, C364:INDEX(C:C, ROW(C364)+SheetTable02[[#This Row],[Column1]]-1)))</f>
        <v/>
      </c>
    </row>
    <row r="365" spans="1:8" ht="28.8">
      <c r="A365" s="1" t="s">
        <v>193</v>
      </c>
      <c r="B365" s="1" t="s">
        <v>194</v>
      </c>
      <c r="C365" s="1" t="s">
        <v>442</v>
      </c>
      <c r="D365" s="1"/>
      <c r="E365" s="1"/>
      <c r="F365" s="1"/>
      <c r="G365" s="7">
        <f>COUNTIF(SheetTable02[Focal Document
Element],A365)</f>
        <v>37</v>
      </c>
      <c r="H365" s="7" t="str">
        <f>IF(A365=A364,"",_xlfn.TEXTJOIN(", ", TRUE, C365:INDEX(C:C, ROW(C365)+SheetTable02[[#This Row],[Column1]]-1)))</f>
        <v/>
      </c>
    </row>
    <row r="366" spans="1:8" ht="28.8">
      <c r="A366" s="1" t="s">
        <v>193</v>
      </c>
      <c r="B366" s="1" t="s">
        <v>194</v>
      </c>
      <c r="C366" s="1" t="s">
        <v>605</v>
      </c>
      <c r="D366" s="1"/>
      <c r="E366" s="1"/>
      <c r="F366" s="1"/>
      <c r="G366" s="7">
        <f>COUNTIF(SheetTable02[Focal Document
Element],A366)</f>
        <v>37</v>
      </c>
      <c r="H366" s="7" t="str">
        <f>IF(A366=A365,"",_xlfn.TEXTJOIN(", ", TRUE, C366:INDEX(C:C, ROW(C366)+SheetTable02[[#This Row],[Column1]]-1)))</f>
        <v/>
      </c>
    </row>
    <row r="367" spans="1:8" ht="28.8">
      <c r="A367" s="1" t="s">
        <v>193</v>
      </c>
      <c r="B367" s="1" t="s">
        <v>194</v>
      </c>
      <c r="C367" s="1" t="s">
        <v>441</v>
      </c>
      <c r="D367" s="1"/>
      <c r="E367" s="1"/>
      <c r="F367" s="1"/>
      <c r="G367" s="7">
        <f>COUNTIF(SheetTable02[Focal Document
Element],A367)</f>
        <v>37</v>
      </c>
      <c r="H367" s="7" t="str">
        <f>IF(A367=A366,"",_xlfn.TEXTJOIN(", ", TRUE, C367:INDEX(C:C, ROW(C367)+SheetTable02[[#This Row],[Column1]]-1)))</f>
        <v/>
      </c>
    </row>
    <row r="368" spans="1:8" ht="28.8">
      <c r="A368" s="1" t="s">
        <v>193</v>
      </c>
      <c r="B368" s="1" t="s">
        <v>194</v>
      </c>
      <c r="C368" s="1" t="s">
        <v>499</v>
      </c>
      <c r="D368" s="1"/>
      <c r="E368" s="1"/>
      <c r="F368" s="1"/>
      <c r="G368" s="7">
        <f>COUNTIF(SheetTable02[Focal Document
Element],A368)</f>
        <v>37</v>
      </c>
      <c r="H368" s="7" t="str">
        <f>IF(A368=A367,"",_xlfn.TEXTJOIN(", ", TRUE, C368:INDEX(C:C, ROW(C368)+SheetTable02[[#This Row],[Column1]]-1)))</f>
        <v/>
      </c>
    </row>
    <row r="369" spans="1:8" ht="28.8">
      <c r="A369" s="1" t="s">
        <v>193</v>
      </c>
      <c r="B369" s="1" t="s">
        <v>194</v>
      </c>
      <c r="C369" s="1" t="s">
        <v>517</v>
      </c>
      <c r="D369" s="1"/>
      <c r="E369" s="1"/>
      <c r="F369" s="1"/>
      <c r="G369" s="7">
        <f>COUNTIF(SheetTable02[Focal Document
Element],A369)</f>
        <v>37</v>
      </c>
      <c r="H369" s="7" t="str">
        <f>IF(A369=A368,"",_xlfn.TEXTJOIN(", ", TRUE, C369:INDEX(C:C, ROW(C369)+SheetTable02[[#This Row],[Column1]]-1)))</f>
        <v/>
      </c>
    </row>
    <row r="370" spans="1:8" ht="28.8">
      <c r="A370" s="1" t="s">
        <v>193</v>
      </c>
      <c r="B370" s="1" t="s">
        <v>194</v>
      </c>
      <c r="C370" s="1" t="s">
        <v>628</v>
      </c>
      <c r="D370" s="1"/>
      <c r="E370" s="1"/>
      <c r="F370" s="1"/>
      <c r="G370" s="7">
        <f>COUNTIF(SheetTable02[Focal Document
Element],A370)</f>
        <v>37</v>
      </c>
      <c r="H370" s="7" t="str">
        <f>IF(A370=A369,"",_xlfn.TEXTJOIN(", ", TRUE, C370:INDEX(C:C, ROW(C370)+SheetTable02[[#This Row],[Column1]]-1)))</f>
        <v/>
      </c>
    </row>
    <row r="371" spans="1:8" ht="28.8">
      <c r="A371" s="1" t="s">
        <v>193</v>
      </c>
      <c r="B371" s="1" t="s">
        <v>194</v>
      </c>
      <c r="C371" s="1" t="s">
        <v>532</v>
      </c>
      <c r="D371" s="1"/>
      <c r="E371" s="1"/>
      <c r="F371" s="1"/>
      <c r="G371" s="7">
        <f>COUNTIF(SheetTable02[Focal Document
Element],A371)</f>
        <v>37</v>
      </c>
      <c r="H371" s="7" t="str">
        <f>IF(A371=A370,"",_xlfn.TEXTJOIN(", ", TRUE, C371:INDEX(C:C, ROW(C371)+SheetTable02[[#This Row],[Column1]]-1)))</f>
        <v/>
      </c>
    </row>
    <row r="372" spans="1:8" ht="28.8">
      <c r="A372" s="1" t="s">
        <v>193</v>
      </c>
      <c r="B372" s="1" t="s">
        <v>194</v>
      </c>
      <c r="C372" s="1" t="s">
        <v>461</v>
      </c>
      <c r="D372" s="1"/>
      <c r="E372" s="1"/>
      <c r="F372" s="1"/>
      <c r="G372" s="7">
        <f>COUNTIF(SheetTable02[Focal Document
Element],A372)</f>
        <v>37</v>
      </c>
      <c r="H372" s="7" t="str">
        <f>IF(A372=A371,"",_xlfn.TEXTJOIN(", ", TRUE, C372:INDEX(C:C, ROW(C372)+SheetTable02[[#This Row],[Column1]]-1)))</f>
        <v/>
      </c>
    </row>
    <row r="373" spans="1:8" ht="28.8">
      <c r="A373" s="1" t="s">
        <v>193</v>
      </c>
      <c r="B373" s="1" t="s">
        <v>194</v>
      </c>
      <c r="C373" s="1" t="s">
        <v>604</v>
      </c>
      <c r="D373" s="1"/>
      <c r="E373" s="1"/>
      <c r="F373" s="1"/>
      <c r="G373" s="7">
        <f>COUNTIF(SheetTable02[Focal Document
Element],A373)</f>
        <v>37</v>
      </c>
      <c r="H373" s="7" t="str">
        <f>IF(A373=A372,"",_xlfn.TEXTJOIN(", ", TRUE, C373:INDEX(C:C, ROW(C373)+SheetTable02[[#This Row],[Column1]]-1)))</f>
        <v/>
      </c>
    </row>
    <row r="374" spans="1:8" ht="57.6">
      <c r="A374" s="1" t="s">
        <v>196</v>
      </c>
      <c r="B374" s="1" t="s">
        <v>197</v>
      </c>
      <c r="C374" s="1" t="s">
        <v>596</v>
      </c>
      <c r="D374" s="1"/>
      <c r="E374" s="1"/>
      <c r="F374" s="1"/>
      <c r="G374" s="7">
        <f>COUNTIF(SheetTable02[Focal Document
Element],A374)</f>
        <v>40</v>
      </c>
      <c r="H374" s="7" t="str">
        <f>IF(A374=A373,"",_xlfn.TEXTJOIN(", ", TRUE, C374:INDEX(C:C, ROW(C374)+SheetTable02[[#This Row],[Column1]]-1)))</f>
        <v>AC-01
, AT-01, AU-01, CA-01, CM-01, CP-01, IA-01, IR-01, MA-01, MP-01, PE-01, PL-01, PM-01, PS-01, PT-01, RA-01, SA-01, SC-01, SI-01, SR-01, CA-02, CA-05, CA-07, CA-08, CP-02, CP-04, IR-03, IR-04, IR-08, PL-02, PM-04, PM-31, RA-03, RA-05, RA-07, SA-08, SA-11, SI-02, SI-04, SR-05</v>
      </c>
    </row>
    <row r="375" spans="1:8" ht="57.6">
      <c r="A375" s="1" t="s">
        <v>196</v>
      </c>
      <c r="B375" s="1" t="s">
        <v>197</v>
      </c>
      <c r="C375" s="1" t="s">
        <v>626</v>
      </c>
      <c r="D375" s="1"/>
      <c r="E375" s="1"/>
      <c r="F375" s="1"/>
      <c r="G375" s="7">
        <f>COUNTIF(SheetTable02[Focal Document
Element],A375)</f>
        <v>40</v>
      </c>
      <c r="H375" s="7" t="str">
        <f>IF(A375=A374,"",_xlfn.TEXTJOIN(", ", TRUE, C375:INDEX(C:C, ROW(C375)+SheetTable02[[#This Row],[Column1]]-1)))</f>
        <v/>
      </c>
    </row>
    <row r="376" spans="1:8" ht="57.6">
      <c r="A376" s="1" t="s">
        <v>196</v>
      </c>
      <c r="B376" s="1" t="s">
        <v>197</v>
      </c>
      <c r="C376" s="1" t="s">
        <v>625</v>
      </c>
      <c r="D376" s="1"/>
      <c r="E376" s="1"/>
      <c r="F376" s="1"/>
      <c r="G376" s="7">
        <f>COUNTIF(SheetTable02[Focal Document
Element],A376)</f>
        <v>40</v>
      </c>
      <c r="H376" s="7" t="str">
        <f>IF(A376=A375,"",_xlfn.TEXTJOIN(", ", TRUE, C376:INDEX(C:C, ROW(C376)+SheetTable02[[#This Row],[Column1]]-1)))</f>
        <v/>
      </c>
    </row>
    <row r="377" spans="1:8" ht="57.6">
      <c r="A377" s="1" t="s">
        <v>196</v>
      </c>
      <c r="B377" s="1" t="s">
        <v>197</v>
      </c>
      <c r="C377" s="1" t="s">
        <v>624</v>
      </c>
      <c r="D377" s="1"/>
      <c r="E377" s="1"/>
      <c r="F377" s="1"/>
      <c r="G377" s="7">
        <f>COUNTIF(SheetTable02[Focal Document
Element],A377)</f>
        <v>40</v>
      </c>
      <c r="H377" s="7" t="str">
        <f>IF(A377=A376,"",_xlfn.TEXTJOIN(", ", TRUE, C377:INDEX(C:C, ROW(C377)+SheetTable02[[#This Row],[Column1]]-1)))</f>
        <v/>
      </c>
    </row>
    <row r="378" spans="1:8" ht="57.6">
      <c r="A378" s="1" t="s">
        <v>196</v>
      </c>
      <c r="B378" s="1" t="s">
        <v>197</v>
      </c>
      <c r="C378" s="1" t="s">
        <v>541</v>
      </c>
      <c r="D378" s="1"/>
      <c r="E378" s="1"/>
      <c r="F378" s="1"/>
      <c r="G378" s="7">
        <f>COUNTIF(SheetTable02[Focal Document
Element],A378)</f>
        <v>40</v>
      </c>
      <c r="H378" s="7" t="str">
        <f>IF(A378=A377,"",_xlfn.TEXTJOIN(", ", TRUE, C378:INDEX(C:C, ROW(C378)+SheetTable02[[#This Row],[Column1]]-1)))</f>
        <v/>
      </c>
    </row>
    <row r="379" spans="1:8" ht="57.6">
      <c r="A379" s="1" t="s">
        <v>196</v>
      </c>
      <c r="B379" s="1" t="s">
        <v>197</v>
      </c>
      <c r="C379" s="1" t="s">
        <v>623</v>
      </c>
      <c r="D379" s="1"/>
      <c r="E379" s="1"/>
      <c r="F379" s="1"/>
      <c r="G379" s="7">
        <f>COUNTIF(SheetTable02[Focal Document
Element],A379)</f>
        <v>40</v>
      </c>
      <c r="H379" s="7" t="str">
        <f>IF(A379=A378,"",_xlfn.TEXTJOIN(", ", TRUE, C379:INDEX(C:C, ROW(C379)+SheetTable02[[#This Row],[Column1]]-1)))</f>
        <v/>
      </c>
    </row>
    <row r="380" spans="1:8" ht="57.6">
      <c r="A380" s="1" t="s">
        <v>196</v>
      </c>
      <c r="B380" s="1" t="s">
        <v>197</v>
      </c>
      <c r="C380" s="1" t="s">
        <v>594</v>
      </c>
      <c r="D380" s="1"/>
      <c r="E380" s="1"/>
      <c r="F380" s="1"/>
      <c r="G380" s="7">
        <f>COUNTIF(SheetTable02[Focal Document
Element],A380)</f>
        <v>40</v>
      </c>
      <c r="H380" s="7" t="str">
        <f>IF(A380=A379,"",_xlfn.TEXTJOIN(", ", TRUE, C380:INDEX(C:C, ROW(C380)+SheetTable02[[#This Row],[Column1]]-1)))</f>
        <v/>
      </c>
    </row>
    <row r="381" spans="1:8" ht="57.6">
      <c r="A381" s="1" t="s">
        <v>196</v>
      </c>
      <c r="B381" s="1" t="s">
        <v>197</v>
      </c>
      <c r="C381" s="1" t="s">
        <v>424</v>
      </c>
      <c r="D381" s="1"/>
      <c r="E381" s="1"/>
      <c r="F381" s="1"/>
      <c r="G381" s="7">
        <f>COUNTIF(SheetTable02[Focal Document
Element],A381)</f>
        <v>40</v>
      </c>
      <c r="H381" s="7" t="str">
        <f>IF(A381=A380,"",_xlfn.TEXTJOIN(", ", TRUE, C381:INDEX(C:C, ROW(C381)+SheetTable02[[#This Row],[Column1]]-1)))</f>
        <v/>
      </c>
    </row>
    <row r="382" spans="1:8" ht="57.6">
      <c r="A382" s="1" t="s">
        <v>196</v>
      </c>
      <c r="B382" s="1" t="s">
        <v>197</v>
      </c>
      <c r="C382" s="1" t="s">
        <v>622</v>
      </c>
      <c r="D382" s="1"/>
      <c r="E382" s="1"/>
      <c r="F382" s="1"/>
      <c r="G382" s="7">
        <f>COUNTIF(SheetTable02[Focal Document
Element],A382)</f>
        <v>40</v>
      </c>
      <c r="H382" s="7" t="str">
        <f>IF(A382=A381,"",_xlfn.TEXTJOIN(", ", TRUE, C382:INDEX(C:C, ROW(C382)+SheetTable02[[#This Row],[Column1]]-1)))</f>
        <v/>
      </c>
    </row>
    <row r="383" spans="1:8" ht="57.6">
      <c r="A383" s="1" t="s">
        <v>196</v>
      </c>
      <c r="B383" s="1" t="s">
        <v>197</v>
      </c>
      <c r="C383" s="1" t="s">
        <v>621</v>
      </c>
      <c r="D383" s="1"/>
      <c r="E383" s="1"/>
      <c r="F383" s="1"/>
      <c r="G383" s="7">
        <f>COUNTIF(SheetTable02[Focal Document
Element],A383)</f>
        <v>40</v>
      </c>
      <c r="H383" s="7" t="str">
        <f>IF(A383=A382,"",_xlfn.TEXTJOIN(", ", TRUE, C383:INDEX(C:C, ROW(C383)+SheetTable02[[#This Row],[Column1]]-1)))</f>
        <v/>
      </c>
    </row>
    <row r="384" spans="1:8" ht="57.6">
      <c r="A384" s="1" t="s">
        <v>196</v>
      </c>
      <c r="B384" s="1" t="s">
        <v>197</v>
      </c>
      <c r="C384" s="1" t="s">
        <v>620</v>
      </c>
      <c r="D384" s="1"/>
      <c r="E384" s="1"/>
      <c r="F384" s="1"/>
      <c r="G384" s="7">
        <f>COUNTIF(SheetTable02[Focal Document
Element],A384)</f>
        <v>40</v>
      </c>
      <c r="H384" s="7" t="str">
        <f>IF(A384=A383,"",_xlfn.TEXTJOIN(", ", TRUE, C384:INDEX(C:C, ROW(C384)+SheetTable02[[#This Row],[Column1]]-1)))</f>
        <v/>
      </c>
    </row>
    <row r="385" spans="1:8" ht="57.6">
      <c r="A385" s="1" t="s">
        <v>196</v>
      </c>
      <c r="B385" s="1" t="s">
        <v>197</v>
      </c>
      <c r="C385" s="1" t="s">
        <v>619</v>
      </c>
      <c r="D385" s="1"/>
      <c r="E385" s="1"/>
      <c r="F385" s="1"/>
      <c r="G385" s="7">
        <f>COUNTIF(SheetTable02[Focal Document
Element],A385)</f>
        <v>40</v>
      </c>
      <c r="H385" s="7" t="str">
        <f>IF(A385=A384,"",_xlfn.TEXTJOIN(", ", TRUE, C385:INDEX(C:C, ROW(C385)+SheetTable02[[#This Row],[Column1]]-1)))</f>
        <v/>
      </c>
    </row>
    <row r="386" spans="1:8" ht="57.6">
      <c r="A386" s="1" t="s">
        <v>196</v>
      </c>
      <c r="B386" s="1" t="s">
        <v>197</v>
      </c>
      <c r="C386" s="1" t="s">
        <v>618</v>
      </c>
      <c r="D386" s="1"/>
      <c r="E386" s="1"/>
      <c r="F386" s="1"/>
      <c r="G386" s="7">
        <f>COUNTIF(SheetTable02[Focal Document
Element],A386)</f>
        <v>40</v>
      </c>
      <c r="H386" s="7" t="str">
        <f>IF(A386=A385,"",_xlfn.TEXTJOIN(", ", TRUE, C386:INDEX(C:C, ROW(C386)+SheetTable02[[#This Row],[Column1]]-1)))</f>
        <v/>
      </c>
    </row>
    <row r="387" spans="1:8" ht="57.6">
      <c r="A387" s="1" t="s">
        <v>196</v>
      </c>
      <c r="B387" s="1" t="s">
        <v>197</v>
      </c>
      <c r="C387" s="1" t="s">
        <v>617</v>
      </c>
      <c r="D387" s="1"/>
      <c r="E387" s="1"/>
      <c r="F387" s="1"/>
      <c r="G387" s="7">
        <f>COUNTIF(SheetTable02[Focal Document
Element],A387)</f>
        <v>40</v>
      </c>
      <c r="H387" s="7" t="str">
        <f>IF(A387=A386,"",_xlfn.TEXTJOIN(", ", TRUE, C387:INDEX(C:C, ROW(C387)+SheetTable02[[#This Row],[Column1]]-1)))</f>
        <v/>
      </c>
    </row>
    <row r="388" spans="1:8" ht="57.6">
      <c r="A388" s="1" t="s">
        <v>196</v>
      </c>
      <c r="B388" s="1" t="s">
        <v>197</v>
      </c>
      <c r="C388" s="1" t="s">
        <v>616</v>
      </c>
      <c r="D388" s="1"/>
      <c r="E388" s="1"/>
      <c r="F388" s="1"/>
      <c r="G388" s="7">
        <f>COUNTIF(SheetTable02[Focal Document
Element],A388)</f>
        <v>40</v>
      </c>
      <c r="H388" s="7" t="str">
        <f>IF(A388=A387,"",_xlfn.TEXTJOIN(", ", TRUE, C388:INDEX(C:C, ROW(C388)+SheetTable02[[#This Row],[Column1]]-1)))</f>
        <v/>
      </c>
    </row>
    <row r="389" spans="1:8" ht="57.6">
      <c r="A389" s="1" t="s">
        <v>196</v>
      </c>
      <c r="B389" s="1" t="s">
        <v>197</v>
      </c>
      <c r="C389" s="1" t="s">
        <v>615</v>
      </c>
      <c r="D389" s="1"/>
      <c r="E389" s="1"/>
      <c r="F389" s="1"/>
      <c r="G389" s="7">
        <f>COUNTIF(SheetTable02[Focal Document
Element],A389)</f>
        <v>40</v>
      </c>
      <c r="H389" s="7" t="str">
        <f>IF(A389=A388,"",_xlfn.TEXTJOIN(", ", TRUE, C389:INDEX(C:C, ROW(C389)+SheetTable02[[#This Row],[Column1]]-1)))</f>
        <v/>
      </c>
    </row>
    <row r="390" spans="1:8" ht="57.6">
      <c r="A390" s="1" t="s">
        <v>196</v>
      </c>
      <c r="B390" s="1" t="s">
        <v>197</v>
      </c>
      <c r="C390" s="1" t="s">
        <v>614</v>
      </c>
      <c r="D390" s="1"/>
      <c r="E390" s="1"/>
      <c r="F390" s="1"/>
      <c r="G390" s="7">
        <f>COUNTIF(SheetTable02[Focal Document
Element],A390)</f>
        <v>40</v>
      </c>
      <c r="H390" s="7" t="str">
        <f>IF(A390=A389,"",_xlfn.TEXTJOIN(", ", TRUE, C390:INDEX(C:C, ROW(C390)+SheetTable02[[#This Row],[Column1]]-1)))</f>
        <v/>
      </c>
    </row>
    <row r="391" spans="1:8" ht="57.6">
      <c r="A391" s="1" t="s">
        <v>196</v>
      </c>
      <c r="B391" s="1" t="s">
        <v>197</v>
      </c>
      <c r="C391" s="1" t="s">
        <v>613</v>
      </c>
      <c r="D391" s="1"/>
      <c r="E391" s="1"/>
      <c r="F391" s="1"/>
      <c r="G391" s="7">
        <f>COUNTIF(SheetTable02[Focal Document
Element],A391)</f>
        <v>40</v>
      </c>
      <c r="H391" s="7" t="str">
        <f>IF(A391=A390,"",_xlfn.TEXTJOIN(", ", TRUE, C391:INDEX(C:C, ROW(C391)+SheetTable02[[#This Row],[Column1]]-1)))</f>
        <v/>
      </c>
    </row>
    <row r="392" spans="1:8" ht="57.6">
      <c r="A392" s="1" t="s">
        <v>196</v>
      </c>
      <c r="B392" s="1" t="s">
        <v>197</v>
      </c>
      <c r="C392" s="1" t="s">
        <v>612</v>
      </c>
      <c r="D392" s="1"/>
      <c r="E392" s="1"/>
      <c r="F392" s="1"/>
      <c r="G392" s="7">
        <f>COUNTIF(SheetTable02[Focal Document
Element],A392)</f>
        <v>40</v>
      </c>
      <c r="H392" s="7" t="str">
        <f>IF(A392=A391,"",_xlfn.TEXTJOIN(", ", TRUE, C392:INDEX(C:C, ROW(C392)+SheetTable02[[#This Row],[Column1]]-1)))</f>
        <v/>
      </c>
    </row>
    <row r="393" spans="1:8" ht="57.6">
      <c r="A393" s="1" t="s">
        <v>196</v>
      </c>
      <c r="B393" s="1" t="s">
        <v>197</v>
      </c>
      <c r="C393" s="1" t="s">
        <v>611</v>
      </c>
      <c r="D393" s="1"/>
      <c r="E393" s="1"/>
      <c r="F393" s="1"/>
      <c r="G393" s="7">
        <f>COUNTIF(SheetTable02[Focal Document
Element],A393)</f>
        <v>40</v>
      </c>
      <c r="H393" s="7" t="str">
        <f>IF(A393=A392,"",_xlfn.TEXTJOIN(", ", TRUE, C393:INDEX(C:C, ROW(C393)+SheetTable02[[#This Row],[Column1]]-1)))</f>
        <v/>
      </c>
    </row>
    <row r="394" spans="1:8" ht="57.6">
      <c r="A394" s="1" t="s">
        <v>196</v>
      </c>
      <c r="B394" s="1" t="s">
        <v>197</v>
      </c>
      <c r="C394" s="1" t="s">
        <v>610</v>
      </c>
      <c r="D394" s="1"/>
      <c r="E394" s="1"/>
      <c r="F394" s="1"/>
      <c r="G394" s="7">
        <f>COUNTIF(SheetTable02[Focal Document
Element],A394)</f>
        <v>40</v>
      </c>
      <c r="H394" s="7" t="str">
        <f>IF(A394=A393,"",_xlfn.TEXTJOIN(", ", TRUE, C394:INDEX(C:C, ROW(C394)+SheetTable02[[#This Row],[Column1]]-1)))</f>
        <v/>
      </c>
    </row>
    <row r="395" spans="1:8" ht="57.6">
      <c r="A395" s="1" t="s">
        <v>196</v>
      </c>
      <c r="B395" s="1" t="s">
        <v>197</v>
      </c>
      <c r="C395" s="1" t="s">
        <v>609</v>
      </c>
      <c r="D395" s="1"/>
      <c r="E395" s="1"/>
      <c r="F395" s="1"/>
      <c r="G395" s="7">
        <f>COUNTIF(SheetTable02[Focal Document
Element],A395)</f>
        <v>40</v>
      </c>
      <c r="H395" s="7" t="str">
        <f>IF(A395=A394,"",_xlfn.TEXTJOIN(", ", TRUE, C395:INDEX(C:C, ROW(C395)+SheetTable02[[#This Row],[Column1]]-1)))</f>
        <v/>
      </c>
    </row>
    <row r="396" spans="1:8" ht="57.6">
      <c r="A396" s="1" t="s">
        <v>196</v>
      </c>
      <c r="B396" s="1" t="s">
        <v>197</v>
      </c>
      <c r="C396" s="1" t="s">
        <v>462</v>
      </c>
      <c r="D396" s="1"/>
      <c r="E396" s="1"/>
      <c r="F396" s="1"/>
      <c r="G396" s="7">
        <f>COUNTIF(SheetTable02[Focal Document
Element],A396)</f>
        <v>40</v>
      </c>
      <c r="H396" s="7" t="str">
        <f>IF(A396=A395,"",_xlfn.TEXTJOIN(", ", TRUE, C396:INDEX(C:C, ROW(C396)+SheetTable02[[#This Row],[Column1]]-1)))</f>
        <v/>
      </c>
    </row>
    <row r="397" spans="1:8" ht="57.6">
      <c r="A397" s="1" t="s">
        <v>196</v>
      </c>
      <c r="B397" s="1" t="s">
        <v>197</v>
      </c>
      <c r="C397" s="1" t="s">
        <v>608</v>
      </c>
      <c r="D397" s="1"/>
      <c r="E397" s="1"/>
      <c r="F397" s="1"/>
      <c r="G397" s="7">
        <f>COUNTIF(SheetTable02[Focal Document
Element],A397)</f>
        <v>40</v>
      </c>
      <c r="H397" s="7" t="str">
        <f>IF(A397=A396,"",_xlfn.TEXTJOIN(", ", TRUE, C397:INDEX(C:C, ROW(C397)+SheetTable02[[#This Row],[Column1]]-1)))</f>
        <v/>
      </c>
    </row>
    <row r="398" spans="1:8" ht="57.6">
      <c r="A398" s="1" t="s">
        <v>196</v>
      </c>
      <c r="B398" s="1" t="s">
        <v>197</v>
      </c>
      <c r="C398" s="1" t="s">
        <v>417</v>
      </c>
      <c r="D398" s="1"/>
      <c r="E398" s="1"/>
      <c r="F398" s="1"/>
      <c r="G398" s="7">
        <f>COUNTIF(SheetTable02[Focal Document
Element],A398)</f>
        <v>40</v>
      </c>
      <c r="H398" s="7" t="str">
        <f>IF(A398=A397,"",_xlfn.TEXTJOIN(", ", TRUE, C398:INDEX(C:C, ROW(C398)+SheetTable02[[#This Row],[Column1]]-1)))</f>
        <v/>
      </c>
    </row>
    <row r="399" spans="1:8" ht="57.6">
      <c r="A399" s="1" t="s">
        <v>196</v>
      </c>
      <c r="B399" s="1" t="s">
        <v>197</v>
      </c>
      <c r="C399" s="1" t="s">
        <v>429</v>
      </c>
      <c r="D399" s="1"/>
      <c r="E399" s="1"/>
      <c r="F399" s="1"/>
      <c r="G399" s="7">
        <f>COUNTIF(SheetTable02[Focal Document
Element],A399)</f>
        <v>40</v>
      </c>
      <c r="H399" s="7" t="str">
        <f>IF(A399=A398,"",_xlfn.TEXTJOIN(", ", TRUE, C399:INDEX(C:C, ROW(C399)+SheetTable02[[#This Row],[Column1]]-1)))</f>
        <v/>
      </c>
    </row>
    <row r="400" spans="1:8" ht="57.6">
      <c r="A400" s="1" t="s">
        <v>196</v>
      </c>
      <c r="B400" s="1" t="s">
        <v>197</v>
      </c>
      <c r="C400" s="1" t="s">
        <v>627</v>
      </c>
      <c r="D400" s="1"/>
      <c r="E400" s="1"/>
      <c r="F400" s="1"/>
      <c r="G400" s="7">
        <f>COUNTIF(SheetTable02[Focal Document
Element],A400)</f>
        <v>40</v>
      </c>
      <c r="H400" s="7" t="str">
        <f>IF(A400=A399,"",_xlfn.TEXTJOIN(", ", TRUE, C400:INDEX(C:C, ROW(C400)+SheetTable02[[#This Row],[Column1]]-1)))</f>
        <v/>
      </c>
    </row>
    <row r="401" spans="1:8" ht="57.6">
      <c r="A401" s="1" t="s">
        <v>196</v>
      </c>
      <c r="B401" s="1" t="s">
        <v>197</v>
      </c>
      <c r="C401" s="1" t="s">
        <v>416</v>
      </c>
      <c r="D401" s="1"/>
      <c r="E401" s="1"/>
      <c r="F401" s="1"/>
      <c r="G401" s="7">
        <f>COUNTIF(SheetTable02[Focal Document
Element],A401)</f>
        <v>40</v>
      </c>
      <c r="H401" s="7" t="str">
        <f>IF(A401=A400,"",_xlfn.TEXTJOIN(", ", TRUE, C401:INDEX(C:C, ROW(C401)+SheetTable02[[#This Row],[Column1]]-1)))</f>
        <v/>
      </c>
    </row>
    <row r="402" spans="1:8" ht="57.6">
      <c r="A402" s="1" t="s">
        <v>196</v>
      </c>
      <c r="B402" s="1" t="s">
        <v>197</v>
      </c>
      <c r="C402" s="1" t="s">
        <v>422</v>
      </c>
      <c r="D402" s="1"/>
      <c r="E402" s="1"/>
      <c r="F402" s="1"/>
      <c r="G402" s="7">
        <f>COUNTIF(SheetTable02[Focal Document
Element],A402)</f>
        <v>40</v>
      </c>
      <c r="H402" s="7" t="str">
        <f>IF(A402=A401,"",_xlfn.TEXTJOIN(", ", TRUE, C402:INDEX(C:C, ROW(C402)+SheetTable02[[#This Row],[Column1]]-1)))</f>
        <v/>
      </c>
    </row>
    <row r="403" spans="1:8" ht="57.6">
      <c r="A403" s="1" t="s">
        <v>196</v>
      </c>
      <c r="B403" s="1" t="s">
        <v>197</v>
      </c>
      <c r="C403" s="1" t="s">
        <v>602</v>
      </c>
      <c r="D403" s="1"/>
      <c r="E403" s="1"/>
      <c r="F403" s="1"/>
      <c r="G403" s="7">
        <f>COUNTIF(SheetTable02[Focal Document
Element],A403)</f>
        <v>40</v>
      </c>
      <c r="H403" s="7" t="str">
        <f>IF(A403=A402,"",_xlfn.TEXTJOIN(", ", TRUE, C403:INDEX(C:C, ROW(C403)+SheetTable02[[#This Row],[Column1]]-1)))</f>
        <v/>
      </c>
    </row>
    <row r="404" spans="1:8" ht="57.6">
      <c r="A404" s="1" t="s">
        <v>196</v>
      </c>
      <c r="B404" s="1" t="s">
        <v>197</v>
      </c>
      <c r="C404" s="1" t="s">
        <v>607</v>
      </c>
      <c r="D404" s="1"/>
      <c r="E404" s="1"/>
      <c r="F404" s="1"/>
      <c r="G404" s="7">
        <f>COUNTIF(SheetTable02[Focal Document
Element],A404)</f>
        <v>40</v>
      </c>
      <c r="H404" s="7" t="str">
        <f>IF(A404=A403,"",_xlfn.TEXTJOIN(", ", TRUE, C404:INDEX(C:C, ROW(C404)+SheetTable02[[#This Row],[Column1]]-1)))</f>
        <v/>
      </c>
    </row>
    <row r="405" spans="1:8" ht="57.6">
      <c r="A405" s="1" t="s">
        <v>196</v>
      </c>
      <c r="B405" s="1" t="s">
        <v>197</v>
      </c>
      <c r="C405" s="1" t="s">
        <v>606</v>
      </c>
      <c r="D405" s="1"/>
      <c r="E405" s="1"/>
      <c r="F405" s="1"/>
      <c r="G405" s="7">
        <f>COUNTIF(SheetTable02[Focal Document
Element],A405)</f>
        <v>40</v>
      </c>
      <c r="H405" s="7" t="str">
        <f>IF(A405=A404,"",_xlfn.TEXTJOIN(", ", TRUE, C405:INDEX(C:C, ROW(C405)+SheetTable02[[#This Row],[Column1]]-1)))</f>
        <v/>
      </c>
    </row>
    <row r="406" spans="1:8" ht="57.6">
      <c r="A406" s="1" t="s">
        <v>196</v>
      </c>
      <c r="B406" s="1" t="s">
        <v>197</v>
      </c>
      <c r="C406" s="1" t="s">
        <v>442</v>
      </c>
      <c r="D406" s="1"/>
      <c r="E406" s="1"/>
      <c r="F406" s="1"/>
      <c r="G406" s="7">
        <f>COUNTIF(SheetTable02[Focal Document
Element],A406)</f>
        <v>40</v>
      </c>
      <c r="H406" s="7" t="str">
        <f>IF(A406=A405,"",_xlfn.TEXTJOIN(", ", TRUE, C406:INDEX(C:C, ROW(C406)+SheetTable02[[#This Row],[Column1]]-1)))</f>
        <v/>
      </c>
    </row>
    <row r="407" spans="1:8" ht="57.6">
      <c r="A407" s="1" t="s">
        <v>196</v>
      </c>
      <c r="B407" s="1" t="s">
        <v>197</v>
      </c>
      <c r="C407" s="1" t="s">
        <v>605</v>
      </c>
      <c r="D407" s="1"/>
      <c r="E407" s="1"/>
      <c r="F407" s="1"/>
      <c r="G407" s="7">
        <f>COUNTIF(SheetTable02[Focal Document
Element],A407)</f>
        <v>40</v>
      </c>
      <c r="H407" s="7" t="str">
        <f>IF(A407=A406,"",_xlfn.TEXTJOIN(", ", TRUE, C407:INDEX(C:C, ROW(C407)+SheetTable02[[#This Row],[Column1]]-1)))</f>
        <v/>
      </c>
    </row>
    <row r="408" spans="1:8" ht="57.6">
      <c r="A408" s="1" t="s">
        <v>196</v>
      </c>
      <c r="B408" s="1" t="s">
        <v>197</v>
      </c>
      <c r="C408" s="1" t="s">
        <v>441</v>
      </c>
      <c r="D408" s="1"/>
      <c r="E408" s="1"/>
      <c r="F408" s="1"/>
      <c r="G408" s="7">
        <f>COUNTIF(SheetTable02[Focal Document
Element],A408)</f>
        <v>40</v>
      </c>
      <c r="H408" s="7" t="str">
        <f>IF(A408=A407,"",_xlfn.TEXTJOIN(", ", TRUE, C408:INDEX(C:C, ROW(C408)+SheetTable02[[#This Row],[Column1]]-1)))</f>
        <v/>
      </c>
    </row>
    <row r="409" spans="1:8" ht="57.6">
      <c r="A409" s="1" t="s">
        <v>196</v>
      </c>
      <c r="B409" s="1" t="s">
        <v>197</v>
      </c>
      <c r="C409" s="1" t="s">
        <v>499</v>
      </c>
      <c r="D409" s="1"/>
      <c r="E409" s="1"/>
      <c r="F409" s="1"/>
      <c r="G409" s="7">
        <f>COUNTIF(SheetTable02[Focal Document
Element],A409)</f>
        <v>40</v>
      </c>
      <c r="H409" s="7" t="str">
        <f>IF(A409=A408,"",_xlfn.TEXTJOIN(", ", TRUE, C409:INDEX(C:C, ROW(C409)+SheetTable02[[#This Row],[Column1]]-1)))</f>
        <v/>
      </c>
    </row>
    <row r="410" spans="1:8" ht="57.6">
      <c r="A410" s="1" t="s">
        <v>196</v>
      </c>
      <c r="B410" s="1" t="s">
        <v>197</v>
      </c>
      <c r="C410" s="1" t="s">
        <v>517</v>
      </c>
      <c r="D410" s="1"/>
      <c r="E410" s="1"/>
      <c r="F410" s="1"/>
      <c r="G410" s="7">
        <f>COUNTIF(SheetTable02[Focal Document
Element],A410)</f>
        <v>40</v>
      </c>
      <c r="H410" s="7" t="str">
        <f>IF(A410=A409,"",_xlfn.TEXTJOIN(", ", TRUE, C410:INDEX(C:C, ROW(C410)+SheetTable02[[#This Row],[Column1]]-1)))</f>
        <v/>
      </c>
    </row>
    <row r="411" spans="1:8" ht="57.6">
      <c r="A411" s="1" t="s">
        <v>196</v>
      </c>
      <c r="B411" s="1" t="s">
        <v>197</v>
      </c>
      <c r="C411" s="1" t="s">
        <v>532</v>
      </c>
      <c r="D411" s="1"/>
      <c r="E411" s="1"/>
      <c r="F411" s="1"/>
      <c r="G411" s="7">
        <f>COUNTIF(SheetTable02[Focal Document
Element],A411)</f>
        <v>40</v>
      </c>
      <c r="H411" s="7" t="str">
        <f>IF(A411=A410,"",_xlfn.TEXTJOIN(", ", TRUE, C411:INDEX(C:C, ROW(C411)+SheetTable02[[#This Row],[Column1]]-1)))</f>
        <v/>
      </c>
    </row>
    <row r="412" spans="1:8" ht="57.6">
      <c r="A412" s="1" t="s">
        <v>196</v>
      </c>
      <c r="B412" s="1" t="s">
        <v>197</v>
      </c>
      <c r="C412" s="1" t="s">
        <v>461</v>
      </c>
      <c r="D412" s="1"/>
      <c r="E412" s="1"/>
      <c r="F412" s="1"/>
      <c r="G412" s="7">
        <f>COUNTIF(SheetTable02[Focal Document
Element],A412)</f>
        <v>40</v>
      </c>
      <c r="H412" s="7" t="str">
        <f>IF(A412=A411,"",_xlfn.TEXTJOIN(", ", TRUE, C412:INDEX(C:C, ROW(C412)+SheetTable02[[#This Row],[Column1]]-1)))</f>
        <v/>
      </c>
    </row>
    <row r="413" spans="1:8" ht="57.6">
      <c r="A413" s="1" t="s">
        <v>196</v>
      </c>
      <c r="B413" s="1" t="s">
        <v>197</v>
      </c>
      <c r="C413" s="1" t="s">
        <v>604</v>
      </c>
      <c r="D413" s="1"/>
      <c r="E413" s="1"/>
      <c r="F413" s="1"/>
      <c r="G413" s="7">
        <f>COUNTIF(SheetTable02[Focal Document
Element],A413)</f>
        <v>40</v>
      </c>
      <c r="H413" s="7" t="str">
        <f>IF(A413=A412,"",_xlfn.TEXTJOIN(", ", TRUE, C413:INDEX(C:C, ROW(C413)+SheetTable02[[#This Row],[Column1]]-1)))</f>
        <v/>
      </c>
    </row>
    <row r="414" spans="1:8" ht="43.2">
      <c r="A414" s="1" t="s">
        <v>199</v>
      </c>
      <c r="B414" s="1" t="s">
        <v>201</v>
      </c>
      <c r="C414" s="1" t="s">
        <v>596</v>
      </c>
      <c r="D414" s="1"/>
      <c r="E414" s="1"/>
      <c r="F414" s="1"/>
      <c r="G414" s="7">
        <f>COUNTIF(SheetTable02[Focal Document
Element],A414)</f>
        <v>39</v>
      </c>
      <c r="H414" s="7" t="str">
        <f>IF(A414=A413,"",_xlfn.TEXTJOIN(", ", TRUE, C414:INDEX(C:C, ROW(C414)+SheetTable02[[#This Row],[Column1]]-1)))</f>
        <v>AC-01
, AT-01, AU-01, CA-01, CM-01, CP-01, IA-01, IR-01, MA-01, MP-01, PE-01, PL-01, PM-01, PS-01, PT-01, RA-01, SA-01, SC-01, SI-01, SR-01, CA-02, CA-05, CA-07, CA-08, CP-02, IR-04, IR-08, PL-02, PM-04, PM-31, RA-03, RA-05, RA-07, SA-04, SA-08, SA-11, SI-02, SI-04, SR-05</v>
      </c>
    </row>
    <row r="415" spans="1:8" ht="43.2">
      <c r="A415" s="1" t="s">
        <v>199</v>
      </c>
      <c r="B415" s="1" t="s">
        <v>201</v>
      </c>
      <c r="C415" s="1" t="s">
        <v>626</v>
      </c>
      <c r="D415" s="1"/>
      <c r="E415" s="1"/>
      <c r="F415" s="1"/>
      <c r="G415" s="7">
        <f>COUNTIF(SheetTable02[Focal Document
Element],A415)</f>
        <v>39</v>
      </c>
      <c r="H415" s="7" t="str">
        <f>IF(A415=A414,"",_xlfn.TEXTJOIN(", ", TRUE, C415:INDEX(C:C, ROW(C415)+SheetTable02[[#This Row],[Column1]]-1)))</f>
        <v/>
      </c>
    </row>
    <row r="416" spans="1:8" ht="43.2">
      <c r="A416" s="1" t="s">
        <v>199</v>
      </c>
      <c r="B416" s="1" t="s">
        <v>201</v>
      </c>
      <c r="C416" s="1" t="s">
        <v>625</v>
      </c>
      <c r="D416" s="1"/>
      <c r="E416" s="1"/>
      <c r="F416" s="1"/>
      <c r="G416" s="7">
        <f>COUNTIF(SheetTable02[Focal Document
Element],A416)</f>
        <v>39</v>
      </c>
      <c r="H416" s="7" t="str">
        <f>IF(A416=A415,"",_xlfn.TEXTJOIN(", ", TRUE, C416:INDEX(C:C, ROW(C416)+SheetTable02[[#This Row],[Column1]]-1)))</f>
        <v/>
      </c>
    </row>
    <row r="417" spans="1:8" ht="43.2">
      <c r="A417" s="1" t="s">
        <v>199</v>
      </c>
      <c r="B417" s="1" t="s">
        <v>201</v>
      </c>
      <c r="C417" s="1" t="s">
        <v>624</v>
      </c>
      <c r="D417" s="1"/>
      <c r="E417" s="1"/>
      <c r="F417" s="1"/>
      <c r="G417" s="7">
        <f>COUNTIF(SheetTable02[Focal Document
Element],A417)</f>
        <v>39</v>
      </c>
      <c r="H417" s="7" t="str">
        <f>IF(A417=A416,"",_xlfn.TEXTJOIN(", ", TRUE, C417:INDEX(C:C, ROW(C417)+SheetTable02[[#This Row],[Column1]]-1)))</f>
        <v/>
      </c>
    </row>
    <row r="418" spans="1:8" ht="43.2">
      <c r="A418" s="1" t="s">
        <v>199</v>
      </c>
      <c r="B418" s="1" t="s">
        <v>201</v>
      </c>
      <c r="C418" s="1" t="s">
        <v>541</v>
      </c>
      <c r="D418" s="1"/>
      <c r="E418" s="1"/>
      <c r="F418" s="1"/>
      <c r="G418" s="7">
        <f>COUNTIF(SheetTable02[Focal Document
Element],A418)</f>
        <v>39</v>
      </c>
      <c r="H418" s="7" t="str">
        <f>IF(A418=A417,"",_xlfn.TEXTJOIN(", ", TRUE, C418:INDEX(C:C, ROW(C418)+SheetTable02[[#This Row],[Column1]]-1)))</f>
        <v/>
      </c>
    </row>
    <row r="419" spans="1:8" ht="43.2">
      <c r="A419" s="1" t="s">
        <v>199</v>
      </c>
      <c r="B419" s="1" t="s">
        <v>201</v>
      </c>
      <c r="C419" s="1" t="s">
        <v>623</v>
      </c>
      <c r="D419" s="1"/>
      <c r="E419" s="1"/>
      <c r="F419" s="1"/>
      <c r="G419" s="7">
        <f>COUNTIF(SheetTable02[Focal Document
Element],A419)</f>
        <v>39</v>
      </c>
      <c r="H419" s="7" t="str">
        <f>IF(A419=A418,"",_xlfn.TEXTJOIN(", ", TRUE, C419:INDEX(C:C, ROW(C419)+SheetTable02[[#This Row],[Column1]]-1)))</f>
        <v/>
      </c>
    </row>
    <row r="420" spans="1:8" ht="43.2">
      <c r="A420" s="1" t="s">
        <v>199</v>
      </c>
      <c r="B420" s="1" t="s">
        <v>201</v>
      </c>
      <c r="C420" s="1" t="s">
        <v>594</v>
      </c>
      <c r="D420" s="1"/>
      <c r="E420" s="1"/>
      <c r="F420" s="1"/>
      <c r="G420" s="7">
        <f>COUNTIF(SheetTable02[Focal Document
Element],A420)</f>
        <v>39</v>
      </c>
      <c r="H420" s="7" t="str">
        <f>IF(A420=A419,"",_xlfn.TEXTJOIN(", ", TRUE, C420:INDEX(C:C, ROW(C420)+SheetTable02[[#This Row],[Column1]]-1)))</f>
        <v/>
      </c>
    </row>
    <row r="421" spans="1:8" ht="43.2">
      <c r="A421" s="1" t="s">
        <v>199</v>
      </c>
      <c r="B421" s="1" t="s">
        <v>201</v>
      </c>
      <c r="C421" s="1" t="s">
        <v>424</v>
      </c>
      <c r="D421" s="1"/>
      <c r="E421" s="1"/>
      <c r="F421" s="1"/>
      <c r="G421" s="7">
        <f>COUNTIF(SheetTable02[Focal Document
Element],A421)</f>
        <v>39</v>
      </c>
      <c r="H421" s="7" t="str">
        <f>IF(A421=A420,"",_xlfn.TEXTJOIN(", ", TRUE, C421:INDEX(C:C, ROW(C421)+SheetTable02[[#This Row],[Column1]]-1)))</f>
        <v/>
      </c>
    </row>
    <row r="422" spans="1:8" ht="43.2">
      <c r="A422" s="1" t="s">
        <v>199</v>
      </c>
      <c r="B422" s="1" t="s">
        <v>201</v>
      </c>
      <c r="C422" s="1" t="s">
        <v>622</v>
      </c>
      <c r="D422" s="1"/>
      <c r="E422" s="1"/>
      <c r="F422" s="1"/>
      <c r="G422" s="7">
        <f>COUNTIF(SheetTable02[Focal Document
Element],A422)</f>
        <v>39</v>
      </c>
      <c r="H422" s="7" t="str">
        <f>IF(A422=A421,"",_xlfn.TEXTJOIN(", ", TRUE, C422:INDEX(C:C, ROW(C422)+SheetTable02[[#This Row],[Column1]]-1)))</f>
        <v/>
      </c>
    </row>
    <row r="423" spans="1:8" ht="43.2">
      <c r="A423" s="1" t="s">
        <v>199</v>
      </c>
      <c r="B423" s="1" t="s">
        <v>201</v>
      </c>
      <c r="C423" s="1" t="s">
        <v>621</v>
      </c>
      <c r="D423" s="1"/>
      <c r="E423" s="1"/>
      <c r="F423" s="1"/>
      <c r="G423" s="7">
        <f>COUNTIF(SheetTable02[Focal Document
Element],A423)</f>
        <v>39</v>
      </c>
      <c r="H423" s="7" t="str">
        <f>IF(A423=A422,"",_xlfn.TEXTJOIN(", ", TRUE, C423:INDEX(C:C, ROW(C423)+SheetTable02[[#This Row],[Column1]]-1)))</f>
        <v/>
      </c>
    </row>
    <row r="424" spans="1:8" ht="43.2">
      <c r="A424" s="1" t="s">
        <v>199</v>
      </c>
      <c r="B424" s="1" t="s">
        <v>201</v>
      </c>
      <c r="C424" s="1" t="s">
        <v>620</v>
      </c>
      <c r="D424" s="1"/>
      <c r="E424" s="1"/>
      <c r="F424" s="1"/>
      <c r="G424" s="7">
        <f>COUNTIF(SheetTable02[Focal Document
Element],A424)</f>
        <v>39</v>
      </c>
      <c r="H424" s="7" t="str">
        <f>IF(A424=A423,"",_xlfn.TEXTJOIN(", ", TRUE, C424:INDEX(C:C, ROW(C424)+SheetTable02[[#This Row],[Column1]]-1)))</f>
        <v/>
      </c>
    </row>
    <row r="425" spans="1:8" ht="43.2">
      <c r="A425" s="1" t="s">
        <v>199</v>
      </c>
      <c r="B425" s="1" t="s">
        <v>201</v>
      </c>
      <c r="C425" s="1" t="s">
        <v>619</v>
      </c>
      <c r="D425" s="1"/>
      <c r="E425" s="1"/>
      <c r="F425" s="1"/>
      <c r="G425" s="7">
        <f>COUNTIF(SheetTable02[Focal Document
Element],A425)</f>
        <v>39</v>
      </c>
      <c r="H425" s="7" t="str">
        <f>IF(A425=A424,"",_xlfn.TEXTJOIN(", ", TRUE, C425:INDEX(C:C, ROW(C425)+SheetTable02[[#This Row],[Column1]]-1)))</f>
        <v/>
      </c>
    </row>
    <row r="426" spans="1:8" ht="43.2">
      <c r="A426" s="1" t="s">
        <v>199</v>
      </c>
      <c r="B426" s="1" t="s">
        <v>201</v>
      </c>
      <c r="C426" s="1" t="s">
        <v>618</v>
      </c>
      <c r="D426" s="1"/>
      <c r="E426" s="1"/>
      <c r="F426" s="1"/>
      <c r="G426" s="7">
        <f>COUNTIF(SheetTable02[Focal Document
Element],A426)</f>
        <v>39</v>
      </c>
      <c r="H426" s="7" t="str">
        <f>IF(A426=A425,"",_xlfn.TEXTJOIN(", ", TRUE, C426:INDEX(C:C, ROW(C426)+SheetTable02[[#This Row],[Column1]]-1)))</f>
        <v/>
      </c>
    </row>
    <row r="427" spans="1:8" ht="43.2">
      <c r="A427" s="1" t="s">
        <v>199</v>
      </c>
      <c r="B427" s="1" t="s">
        <v>201</v>
      </c>
      <c r="C427" s="1" t="s">
        <v>617</v>
      </c>
      <c r="D427" s="1"/>
      <c r="E427" s="1"/>
      <c r="F427" s="1"/>
      <c r="G427" s="7">
        <f>COUNTIF(SheetTable02[Focal Document
Element],A427)</f>
        <v>39</v>
      </c>
      <c r="H427" s="7" t="str">
        <f>IF(A427=A426,"",_xlfn.TEXTJOIN(", ", TRUE, C427:INDEX(C:C, ROW(C427)+SheetTable02[[#This Row],[Column1]]-1)))</f>
        <v/>
      </c>
    </row>
    <row r="428" spans="1:8" ht="43.2">
      <c r="A428" s="1" t="s">
        <v>199</v>
      </c>
      <c r="B428" s="1" t="s">
        <v>201</v>
      </c>
      <c r="C428" s="1" t="s">
        <v>616</v>
      </c>
      <c r="D428" s="1"/>
      <c r="E428" s="1"/>
      <c r="F428" s="1"/>
      <c r="G428" s="7">
        <f>COUNTIF(SheetTable02[Focal Document
Element],A428)</f>
        <v>39</v>
      </c>
      <c r="H428" s="7" t="str">
        <f>IF(A428=A427,"",_xlfn.TEXTJOIN(", ", TRUE, C428:INDEX(C:C, ROW(C428)+SheetTable02[[#This Row],[Column1]]-1)))</f>
        <v/>
      </c>
    </row>
    <row r="429" spans="1:8" ht="43.2">
      <c r="A429" s="1" t="s">
        <v>199</v>
      </c>
      <c r="B429" s="1" t="s">
        <v>201</v>
      </c>
      <c r="C429" s="1" t="s">
        <v>615</v>
      </c>
      <c r="D429" s="1"/>
      <c r="E429" s="1"/>
      <c r="F429" s="1"/>
      <c r="G429" s="7">
        <f>COUNTIF(SheetTable02[Focal Document
Element],A429)</f>
        <v>39</v>
      </c>
      <c r="H429" s="7" t="str">
        <f>IF(A429=A428,"",_xlfn.TEXTJOIN(", ", TRUE, C429:INDEX(C:C, ROW(C429)+SheetTable02[[#This Row],[Column1]]-1)))</f>
        <v/>
      </c>
    </row>
    <row r="430" spans="1:8" ht="43.2">
      <c r="A430" s="1" t="s">
        <v>199</v>
      </c>
      <c r="B430" s="1" t="s">
        <v>201</v>
      </c>
      <c r="C430" s="1" t="s">
        <v>614</v>
      </c>
      <c r="D430" s="1"/>
      <c r="E430" s="1"/>
      <c r="F430" s="1"/>
      <c r="G430" s="7">
        <f>COUNTIF(SheetTable02[Focal Document
Element],A430)</f>
        <v>39</v>
      </c>
      <c r="H430" s="7" t="str">
        <f>IF(A430=A429,"",_xlfn.TEXTJOIN(", ", TRUE, C430:INDEX(C:C, ROW(C430)+SheetTable02[[#This Row],[Column1]]-1)))</f>
        <v/>
      </c>
    </row>
    <row r="431" spans="1:8" ht="43.2">
      <c r="A431" s="1" t="s">
        <v>199</v>
      </c>
      <c r="B431" s="1" t="s">
        <v>201</v>
      </c>
      <c r="C431" s="1" t="s">
        <v>613</v>
      </c>
      <c r="D431" s="1"/>
      <c r="E431" s="1"/>
      <c r="F431" s="1"/>
      <c r="G431" s="7">
        <f>COUNTIF(SheetTable02[Focal Document
Element],A431)</f>
        <v>39</v>
      </c>
      <c r="H431" s="7" t="str">
        <f>IF(A431=A430,"",_xlfn.TEXTJOIN(", ", TRUE, C431:INDEX(C:C, ROW(C431)+SheetTable02[[#This Row],[Column1]]-1)))</f>
        <v/>
      </c>
    </row>
    <row r="432" spans="1:8" ht="43.2">
      <c r="A432" s="1" t="s">
        <v>199</v>
      </c>
      <c r="B432" s="1" t="s">
        <v>201</v>
      </c>
      <c r="C432" s="1" t="s">
        <v>612</v>
      </c>
      <c r="D432" s="1"/>
      <c r="E432" s="1"/>
      <c r="F432" s="1"/>
      <c r="G432" s="7">
        <f>COUNTIF(SheetTable02[Focal Document
Element],A432)</f>
        <v>39</v>
      </c>
      <c r="H432" s="7" t="str">
        <f>IF(A432=A431,"",_xlfn.TEXTJOIN(", ", TRUE, C432:INDEX(C:C, ROW(C432)+SheetTable02[[#This Row],[Column1]]-1)))</f>
        <v/>
      </c>
    </row>
    <row r="433" spans="1:8" ht="43.2">
      <c r="A433" s="1" t="s">
        <v>199</v>
      </c>
      <c r="B433" s="1" t="s">
        <v>201</v>
      </c>
      <c r="C433" s="1" t="s">
        <v>611</v>
      </c>
      <c r="D433" s="1"/>
      <c r="E433" s="1"/>
      <c r="F433" s="1"/>
      <c r="G433" s="7">
        <f>COUNTIF(SheetTable02[Focal Document
Element],A433)</f>
        <v>39</v>
      </c>
      <c r="H433" s="7" t="str">
        <f>IF(A433=A432,"",_xlfn.TEXTJOIN(", ", TRUE, C433:INDEX(C:C, ROW(C433)+SheetTable02[[#This Row],[Column1]]-1)))</f>
        <v/>
      </c>
    </row>
    <row r="434" spans="1:8" ht="43.2">
      <c r="A434" s="1" t="s">
        <v>199</v>
      </c>
      <c r="B434" s="1" t="s">
        <v>201</v>
      </c>
      <c r="C434" s="1" t="s">
        <v>610</v>
      </c>
      <c r="D434" s="1"/>
      <c r="E434" s="1"/>
      <c r="F434" s="1"/>
      <c r="G434" s="7">
        <f>COUNTIF(SheetTable02[Focal Document
Element],A434)</f>
        <v>39</v>
      </c>
      <c r="H434" s="7" t="str">
        <f>IF(A434=A433,"",_xlfn.TEXTJOIN(", ", TRUE, C434:INDEX(C:C, ROW(C434)+SheetTable02[[#This Row],[Column1]]-1)))</f>
        <v/>
      </c>
    </row>
    <row r="435" spans="1:8" ht="43.2">
      <c r="A435" s="1" t="s">
        <v>199</v>
      </c>
      <c r="B435" s="1" t="s">
        <v>201</v>
      </c>
      <c r="C435" s="1" t="s">
        <v>609</v>
      </c>
      <c r="D435" s="1"/>
      <c r="E435" s="1"/>
      <c r="F435" s="1"/>
      <c r="G435" s="7">
        <f>COUNTIF(SheetTable02[Focal Document
Element],A435)</f>
        <v>39</v>
      </c>
      <c r="H435" s="7" t="str">
        <f>IF(A435=A434,"",_xlfn.TEXTJOIN(", ", TRUE, C435:INDEX(C:C, ROW(C435)+SheetTable02[[#This Row],[Column1]]-1)))</f>
        <v/>
      </c>
    </row>
    <row r="436" spans="1:8" ht="43.2">
      <c r="A436" s="1" t="s">
        <v>199</v>
      </c>
      <c r="B436" s="1" t="s">
        <v>201</v>
      </c>
      <c r="C436" s="1" t="s">
        <v>462</v>
      </c>
      <c r="D436" s="1"/>
      <c r="E436" s="1"/>
      <c r="F436" s="1"/>
      <c r="G436" s="7">
        <f>COUNTIF(SheetTable02[Focal Document
Element],A436)</f>
        <v>39</v>
      </c>
      <c r="H436" s="7" t="str">
        <f>IF(A436=A435,"",_xlfn.TEXTJOIN(", ", TRUE, C436:INDEX(C:C, ROW(C436)+SheetTable02[[#This Row],[Column1]]-1)))</f>
        <v/>
      </c>
    </row>
    <row r="437" spans="1:8" ht="43.2">
      <c r="A437" s="1" t="s">
        <v>199</v>
      </c>
      <c r="B437" s="1" t="s">
        <v>201</v>
      </c>
      <c r="C437" s="1" t="s">
        <v>608</v>
      </c>
      <c r="D437" s="1"/>
      <c r="E437" s="1"/>
      <c r="F437" s="1"/>
      <c r="G437" s="7">
        <f>COUNTIF(SheetTable02[Focal Document
Element],A437)</f>
        <v>39</v>
      </c>
      <c r="H437" s="7" t="str">
        <f>IF(A437=A436,"",_xlfn.TEXTJOIN(", ", TRUE, C437:INDEX(C:C, ROW(C437)+SheetTable02[[#This Row],[Column1]]-1)))</f>
        <v/>
      </c>
    </row>
    <row r="438" spans="1:8" ht="43.2">
      <c r="A438" s="1" t="s">
        <v>199</v>
      </c>
      <c r="B438" s="1" t="s">
        <v>201</v>
      </c>
      <c r="C438" s="1" t="s">
        <v>417</v>
      </c>
      <c r="D438" s="1"/>
      <c r="E438" s="1"/>
      <c r="F438" s="1"/>
      <c r="G438" s="7">
        <f>COUNTIF(SheetTable02[Focal Document
Element],A438)</f>
        <v>39</v>
      </c>
      <c r="H438" s="7" t="str">
        <f>IF(A438=A437,"",_xlfn.TEXTJOIN(", ", TRUE, C438:INDEX(C:C, ROW(C438)+SheetTable02[[#This Row],[Column1]]-1)))</f>
        <v/>
      </c>
    </row>
    <row r="439" spans="1:8" ht="43.2">
      <c r="A439" s="1" t="s">
        <v>199</v>
      </c>
      <c r="B439" s="1" t="s">
        <v>201</v>
      </c>
      <c r="C439" s="1" t="s">
        <v>416</v>
      </c>
      <c r="D439" s="1"/>
      <c r="E439" s="1"/>
      <c r="F439" s="1"/>
      <c r="G439" s="7">
        <f>COUNTIF(SheetTable02[Focal Document
Element],A439)</f>
        <v>39</v>
      </c>
      <c r="H439" s="7" t="str">
        <f>IF(A439=A438,"",_xlfn.TEXTJOIN(", ", TRUE, C439:INDEX(C:C, ROW(C439)+SheetTable02[[#This Row],[Column1]]-1)))</f>
        <v/>
      </c>
    </row>
    <row r="440" spans="1:8" ht="43.2">
      <c r="A440" s="1" t="s">
        <v>199</v>
      </c>
      <c r="B440" s="1" t="s">
        <v>201</v>
      </c>
      <c r="C440" s="1" t="s">
        <v>422</v>
      </c>
      <c r="D440" s="1"/>
      <c r="E440" s="1"/>
      <c r="F440" s="1"/>
      <c r="G440" s="7">
        <f>COUNTIF(SheetTable02[Focal Document
Element],A440)</f>
        <v>39</v>
      </c>
      <c r="H440" s="7" t="str">
        <f>IF(A440=A439,"",_xlfn.TEXTJOIN(", ", TRUE, C440:INDEX(C:C, ROW(C440)+SheetTable02[[#This Row],[Column1]]-1)))</f>
        <v/>
      </c>
    </row>
    <row r="441" spans="1:8" ht="43.2">
      <c r="A441" s="1" t="s">
        <v>199</v>
      </c>
      <c r="B441" s="1" t="s">
        <v>201</v>
      </c>
      <c r="C441" s="1" t="s">
        <v>602</v>
      </c>
      <c r="D441" s="1"/>
      <c r="E441" s="1"/>
      <c r="F441" s="1"/>
      <c r="G441" s="7">
        <f>COUNTIF(SheetTable02[Focal Document
Element],A441)</f>
        <v>39</v>
      </c>
      <c r="H441" s="7" t="str">
        <f>IF(A441=A440,"",_xlfn.TEXTJOIN(", ", TRUE, C441:INDEX(C:C, ROW(C441)+SheetTable02[[#This Row],[Column1]]-1)))</f>
        <v/>
      </c>
    </row>
    <row r="442" spans="1:8" ht="43.2">
      <c r="A442" s="1" t="s">
        <v>199</v>
      </c>
      <c r="B442" s="1" t="s">
        <v>201</v>
      </c>
      <c r="C442" s="1" t="s">
        <v>607</v>
      </c>
      <c r="D442" s="1"/>
      <c r="E442" s="1"/>
      <c r="F442" s="1"/>
      <c r="G442" s="7">
        <f>COUNTIF(SheetTable02[Focal Document
Element],A442)</f>
        <v>39</v>
      </c>
      <c r="H442" s="7" t="str">
        <f>IF(A442=A441,"",_xlfn.TEXTJOIN(", ", TRUE, C442:INDEX(C:C, ROW(C442)+SheetTable02[[#This Row],[Column1]]-1)))</f>
        <v/>
      </c>
    </row>
    <row r="443" spans="1:8" ht="43.2">
      <c r="A443" s="1" t="s">
        <v>199</v>
      </c>
      <c r="B443" s="1" t="s">
        <v>201</v>
      </c>
      <c r="C443" s="1" t="s">
        <v>606</v>
      </c>
      <c r="D443" s="1"/>
      <c r="E443" s="1"/>
      <c r="F443" s="1"/>
      <c r="G443" s="7">
        <f>COUNTIF(SheetTable02[Focal Document
Element],A443)</f>
        <v>39</v>
      </c>
      <c r="H443" s="7" t="str">
        <f>IF(A443=A442,"",_xlfn.TEXTJOIN(", ", TRUE, C443:INDEX(C:C, ROW(C443)+SheetTable02[[#This Row],[Column1]]-1)))</f>
        <v/>
      </c>
    </row>
    <row r="444" spans="1:8" ht="43.2">
      <c r="A444" s="1" t="s">
        <v>199</v>
      </c>
      <c r="B444" s="1" t="s">
        <v>201</v>
      </c>
      <c r="C444" s="1" t="s">
        <v>442</v>
      </c>
      <c r="D444" s="1"/>
      <c r="E444" s="1"/>
      <c r="F444" s="1"/>
      <c r="G444" s="7">
        <f>COUNTIF(SheetTable02[Focal Document
Element],A444)</f>
        <v>39</v>
      </c>
      <c r="H444" s="7" t="str">
        <f>IF(A444=A443,"",_xlfn.TEXTJOIN(", ", TRUE, C444:INDEX(C:C, ROW(C444)+SheetTable02[[#This Row],[Column1]]-1)))</f>
        <v/>
      </c>
    </row>
    <row r="445" spans="1:8" ht="43.2">
      <c r="A445" s="1" t="s">
        <v>199</v>
      </c>
      <c r="B445" s="1" t="s">
        <v>201</v>
      </c>
      <c r="C445" s="1" t="s">
        <v>605</v>
      </c>
      <c r="D445" s="1"/>
      <c r="E445" s="1"/>
      <c r="F445" s="1"/>
      <c r="G445" s="7">
        <f>COUNTIF(SheetTable02[Focal Document
Element],A445)</f>
        <v>39</v>
      </c>
      <c r="H445" s="7" t="str">
        <f>IF(A445=A444,"",_xlfn.TEXTJOIN(", ", TRUE, C445:INDEX(C:C, ROW(C445)+SheetTable02[[#This Row],[Column1]]-1)))</f>
        <v/>
      </c>
    </row>
    <row r="446" spans="1:8" ht="43.2">
      <c r="A446" s="1" t="s">
        <v>199</v>
      </c>
      <c r="B446" s="1" t="s">
        <v>201</v>
      </c>
      <c r="C446" s="1" t="s">
        <v>441</v>
      </c>
      <c r="D446" s="1"/>
      <c r="E446" s="1"/>
      <c r="F446" s="1"/>
      <c r="G446" s="7">
        <f>COUNTIF(SheetTable02[Focal Document
Element],A446)</f>
        <v>39</v>
      </c>
      <c r="H446" s="7" t="str">
        <f>IF(A446=A445,"",_xlfn.TEXTJOIN(", ", TRUE, C446:INDEX(C:C, ROW(C446)+SheetTable02[[#This Row],[Column1]]-1)))</f>
        <v/>
      </c>
    </row>
    <row r="447" spans="1:8" ht="43.2">
      <c r="A447" s="1" t="s">
        <v>199</v>
      </c>
      <c r="B447" s="1" t="s">
        <v>201</v>
      </c>
      <c r="C447" s="1" t="s">
        <v>477</v>
      </c>
      <c r="D447" s="1"/>
      <c r="E447" s="1"/>
      <c r="F447" s="1"/>
      <c r="G447" s="7">
        <f>COUNTIF(SheetTable02[Focal Document
Element],A447)</f>
        <v>39</v>
      </c>
      <c r="H447" s="7" t="str">
        <f>IF(A447=A446,"",_xlfn.TEXTJOIN(", ", TRUE, C447:INDEX(C:C, ROW(C447)+SheetTable02[[#This Row],[Column1]]-1)))</f>
        <v/>
      </c>
    </row>
    <row r="448" spans="1:8" ht="43.2">
      <c r="A448" s="1" t="s">
        <v>199</v>
      </c>
      <c r="B448" s="1" t="s">
        <v>201</v>
      </c>
      <c r="C448" s="1" t="s">
        <v>499</v>
      </c>
      <c r="D448" s="1"/>
      <c r="E448" s="1"/>
      <c r="F448" s="1"/>
      <c r="G448" s="7">
        <f>COUNTIF(SheetTable02[Focal Document
Element],A448)</f>
        <v>39</v>
      </c>
      <c r="H448" s="7" t="str">
        <f>IF(A448=A447,"",_xlfn.TEXTJOIN(", ", TRUE, C448:INDEX(C:C, ROW(C448)+SheetTable02[[#This Row],[Column1]]-1)))</f>
        <v/>
      </c>
    </row>
    <row r="449" spans="1:8" ht="43.2">
      <c r="A449" s="1" t="s">
        <v>199</v>
      </c>
      <c r="B449" s="1" t="s">
        <v>201</v>
      </c>
      <c r="C449" s="1" t="s">
        <v>517</v>
      </c>
      <c r="D449" s="1"/>
      <c r="E449" s="1"/>
      <c r="F449" s="1"/>
      <c r="G449" s="7">
        <f>COUNTIF(SheetTable02[Focal Document
Element],A449)</f>
        <v>39</v>
      </c>
      <c r="H449" s="7" t="str">
        <f>IF(A449=A448,"",_xlfn.TEXTJOIN(", ", TRUE, C449:INDEX(C:C, ROW(C449)+SheetTable02[[#This Row],[Column1]]-1)))</f>
        <v/>
      </c>
    </row>
    <row r="450" spans="1:8" ht="43.2">
      <c r="A450" s="1" t="s">
        <v>199</v>
      </c>
      <c r="B450" s="1" t="s">
        <v>201</v>
      </c>
      <c r="C450" s="1" t="s">
        <v>532</v>
      </c>
      <c r="D450" s="1"/>
      <c r="E450" s="1"/>
      <c r="F450" s="1"/>
      <c r="G450" s="7">
        <f>COUNTIF(SheetTable02[Focal Document
Element],A450)</f>
        <v>39</v>
      </c>
      <c r="H450" s="7" t="str">
        <f>IF(A450=A449,"",_xlfn.TEXTJOIN(", ", TRUE, C450:INDEX(C:C, ROW(C450)+SheetTable02[[#This Row],[Column1]]-1)))</f>
        <v/>
      </c>
    </row>
    <row r="451" spans="1:8" ht="43.2">
      <c r="A451" s="1" t="s">
        <v>199</v>
      </c>
      <c r="B451" s="1" t="s">
        <v>201</v>
      </c>
      <c r="C451" s="1" t="s">
        <v>461</v>
      </c>
      <c r="D451" s="1"/>
      <c r="E451" s="1"/>
      <c r="F451" s="1"/>
      <c r="G451" s="7">
        <f>COUNTIF(SheetTable02[Focal Document
Element],A451)</f>
        <v>39</v>
      </c>
      <c r="H451" s="7" t="str">
        <f>IF(A451=A450,"",_xlfn.TEXTJOIN(", ", TRUE, C451:INDEX(C:C, ROW(C451)+SheetTable02[[#This Row],[Column1]]-1)))</f>
        <v/>
      </c>
    </row>
    <row r="452" spans="1:8" ht="43.2">
      <c r="A452" s="1" t="s">
        <v>199</v>
      </c>
      <c r="B452" s="1" t="s">
        <v>201</v>
      </c>
      <c r="C452" s="1" t="s">
        <v>604</v>
      </c>
      <c r="D452" s="1"/>
      <c r="E452" s="1"/>
      <c r="F452" s="1"/>
      <c r="G452" s="7">
        <f>COUNTIF(SheetTable02[Focal Document
Element],A452)</f>
        <v>39</v>
      </c>
      <c r="H452" s="7" t="str">
        <f>IF(A452=A451,"",_xlfn.TEXTJOIN(", ", TRUE, C452:INDEX(C:C, ROW(C452)+SheetTable02[[#This Row],[Column1]]-1)))</f>
        <v/>
      </c>
    </row>
    <row r="453" spans="1:8" ht="72">
      <c r="A453" s="1" t="s">
        <v>203</v>
      </c>
      <c r="B453" s="1" t="s">
        <v>205</v>
      </c>
      <c r="C453" s="1" t="s">
        <v>603</v>
      </c>
      <c r="D453" s="1"/>
      <c r="E453" s="1"/>
      <c r="F453" s="1"/>
      <c r="G453" s="7">
        <f>COUNTIF(SheetTable02[Focal Document
Element],A453)</f>
        <v>4</v>
      </c>
      <c r="H453" s="7" t="str">
        <f>IF(A453=A452,"",_xlfn.TEXTJOIN(", ", TRUE, C453:INDEX(C:C, ROW(C453)+SheetTable02[[#This Row],[Column1]]-1)))</f>
        <v>CP-02
, IR-08, PL-02, SR-02</v>
      </c>
    </row>
    <row r="454" spans="1:8" ht="72">
      <c r="A454" s="1" t="s">
        <v>203</v>
      </c>
      <c r="B454" s="1" t="s">
        <v>205</v>
      </c>
      <c r="C454" s="1" t="s">
        <v>422</v>
      </c>
      <c r="D454" s="1"/>
      <c r="E454" s="1"/>
      <c r="F454" s="1"/>
      <c r="G454" s="7">
        <f>COUNTIF(SheetTable02[Focal Document
Element],A454)</f>
        <v>4</v>
      </c>
      <c r="H454" s="7" t="str">
        <f>IF(A454=A453,"",_xlfn.TEXTJOIN(", ", TRUE, C454:INDEX(C:C, ROW(C454)+SheetTable02[[#This Row],[Column1]]-1)))</f>
        <v/>
      </c>
    </row>
    <row r="455" spans="1:8" ht="72">
      <c r="A455" s="1" t="s">
        <v>203</v>
      </c>
      <c r="B455" s="1" t="s">
        <v>205</v>
      </c>
      <c r="C455" s="1" t="s">
        <v>602</v>
      </c>
      <c r="D455" s="1"/>
      <c r="E455" s="1"/>
      <c r="F455" s="1"/>
      <c r="G455" s="7">
        <f>COUNTIF(SheetTable02[Focal Document
Element],A455)</f>
        <v>4</v>
      </c>
      <c r="H455" s="7" t="str">
        <f>IF(A455=A454,"",_xlfn.TEXTJOIN(", ", TRUE, C455:INDEX(C:C, ROW(C455)+SheetTable02[[#This Row],[Column1]]-1)))</f>
        <v/>
      </c>
    </row>
    <row r="456" spans="1:8" ht="72">
      <c r="A456" s="1" t="s">
        <v>203</v>
      </c>
      <c r="B456" s="1" t="s">
        <v>205</v>
      </c>
      <c r="C456" s="1" t="s">
        <v>601</v>
      </c>
      <c r="D456" s="1"/>
      <c r="E456" s="1"/>
      <c r="F456" s="1"/>
      <c r="G456" s="7">
        <f>COUNTIF(SheetTable02[Focal Document
Element],A456)</f>
        <v>4</v>
      </c>
      <c r="H456" s="7" t="str">
        <f>IF(A456=A455,"",_xlfn.TEXTJOIN(", ", TRUE, C456:INDEX(C:C, ROW(C456)+SheetTable02[[#This Row],[Column1]]-1)))</f>
        <v/>
      </c>
    </row>
    <row r="457" spans="1:8" ht="43.2">
      <c r="A457" s="1" t="s">
        <v>600</v>
      </c>
      <c r="B457" s="1" t="s">
        <v>599</v>
      </c>
      <c r="C457" s="1"/>
      <c r="D457" s="1"/>
      <c r="E457" s="1"/>
      <c r="F457" s="1"/>
      <c r="G457" s="7">
        <f>COUNTIF(SheetTable02[Focal Document
Element],A457)</f>
        <v>1</v>
      </c>
      <c r="H457" s="7" t="str">
        <f>IF(A457=A456,"",_xlfn.TEXTJOIN(", ", TRUE, C457:INDEX(C:C, ROW(C457)+SheetTable02[[#This Row],[Column1]]-1)))</f>
        <v/>
      </c>
    </row>
    <row r="458" spans="1:8" ht="72">
      <c r="A458" s="1" t="s">
        <v>598</v>
      </c>
      <c r="B458" s="1" t="s">
        <v>597</v>
      </c>
      <c r="C458" s="1"/>
      <c r="D458" s="1"/>
      <c r="E458" s="1"/>
      <c r="F458" s="1"/>
      <c r="G458" s="7">
        <f>COUNTIF(SheetTable02[Focal Document
Element],A458)</f>
        <v>1</v>
      </c>
      <c r="H458" s="7" t="str">
        <f>IF(A458=A457,"",_xlfn.TEXTJOIN(", ", TRUE, C458:INDEX(C:C, ROW(C458)+SheetTable02[[#This Row],[Column1]]-1)))</f>
        <v/>
      </c>
    </row>
    <row r="459" spans="1:8" ht="43.2">
      <c r="A459" s="1" t="s">
        <v>207</v>
      </c>
      <c r="B459" s="1" t="s">
        <v>209</v>
      </c>
      <c r="C459" s="1" t="s">
        <v>596</v>
      </c>
      <c r="D459" s="1"/>
      <c r="E459" s="1"/>
      <c r="F459" s="1"/>
      <c r="G459" s="7">
        <f>COUNTIF(SheetTable02[Focal Document
Element],A459)</f>
        <v>14</v>
      </c>
      <c r="H459" s="7" t="str">
        <f>IF(A459=A458,"",_xlfn.TEXTJOIN(", ", TRUE, C459:INDEX(C:C, ROW(C459)+SheetTable02[[#This Row],[Column1]]-1)))</f>
        <v>AC-01
, AC-02, AC-14, IA-01, IA-02, IA-03, IA-04, IA-05, IA-06, IA-07, IA-08, IA-09, IA-10, IA-11</v>
      </c>
    </row>
    <row r="460" spans="1:8" ht="43.2">
      <c r="A460" s="1" t="s">
        <v>207</v>
      </c>
      <c r="B460" s="1" t="s">
        <v>209</v>
      </c>
      <c r="C460" s="1" t="s">
        <v>480</v>
      </c>
      <c r="D460" s="1"/>
      <c r="E460" s="1"/>
      <c r="F460" s="1"/>
      <c r="G460" s="7">
        <f>COUNTIF(SheetTable02[Focal Document
Element],A460)</f>
        <v>14</v>
      </c>
      <c r="H460" s="7" t="str">
        <f>IF(A460=A459,"",_xlfn.TEXTJOIN(", ", TRUE, C460:INDEX(C:C, ROW(C460)+SheetTable02[[#This Row],[Column1]]-1)))</f>
        <v/>
      </c>
    </row>
    <row r="461" spans="1:8" ht="43.2">
      <c r="A461" s="1" t="s">
        <v>207</v>
      </c>
      <c r="B461" s="1" t="s">
        <v>209</v>
      </c>
      <c r="C461" s="1" t="s">
        <v>595</v>
      </c>
      <c r="D461" s="1"/>
      <c r="E461" s="1"/>
      <c r="F461" s="1"/>
      <c r="G461" s="7">
        <f>COUNTIF(SheetTable02[Focal Document
Element],A461)</f>
        <v>14</v>
      </c>
      <c r="H461" s="7" t="str">
        <f>IF(A461=A460,"",_xlfn.TEXTJOIN(", ", TRUE, C461:INDEX(C:C, ROW(C461)+SheetTable02[[#This Row],[Column1]]-1)))</f>
        <v/>
      </c>
    </row>
    <row r="462" spans="1:8" ht="43.2">
      <c r="A462" s="1" t="s">
        <v>207</v>
      </c>
      <c r="B462" s="1" t="s">
        <v>209</v>
      </c>
      <c r="C462" s="1" t="s">
        <v>594</v>
      </c>
      <c r="D462" s="1"/>
      <c r="E462" s="1"/>
      <c r="F462" s="1"/>
      <c r="G462" s="7">
        <f>COUNTIF(SheetTable02[Focal Document
Element],A462)</f>
        <v>14</v>
      </c>
      <c r="H462" s="7" t="str">
        <f>IF(A462=A461,"",_xlfn.TEXTJOIN(", ", TRUE, C462:INDEX(C:C, ROW(C462)+SheetTable02[[#This Row],[Column1]]-1)))</f>
        <v/>
      </c>
    </row>
    <row r="463" spans="1:8" ht="43.2">
      <c r="A463" s="1" t="s">
        <v>207</v>
      </c>
      <c r="B463" s="1" t="s">
        <v>209</v>
      </c>
      <c r="C463" s="1" t="s">
        <v>588</v>
      </c>
      <c r="D463" s="1"/>
      <c r="E463" s="1"/>
      <c r="F463" s="1"/>
      <c r="G463" s="7">
        <f>COUNTIF(SheetTable02[Focal Document
Element],A463)</f>
        <v>14</v>
      </c>
      <c r="H463" s="7" t="str">
        <f>IF(A463=A462,"",_xlfn.TEXTJOIN(", ", TRUE, C463:INDEX(C:C, ROW(C463)+SheetTable02[[#This Row],[Column1]]-1)))</f>
        <v/>
      </c>
    </row>
    <row r="464" spans="1:8" ht="43.2">
      <c r="A464" s="1" t="s">
        <v>207</v>
      </c>
      <c r="B464" s="1" t="s">
        <v>209</v>
      </c>
      <c r="C464" s="1" t="s">
        <v>587</v>
      </c>
      <c r="D464" s="1"/>
      <c r="E464" s="1"/>
      <c r="F464" s="1"/>
      <c r="G464" s="7">
        <f>COUNTIF(SheetTable02[Focal Document
Element],A464)</f>
        <v>14</v>
      </c>
      <c r="H464" s="7" t="str">
        <f>IF(A464=A463,"",_xlfn.TEXTJOIN(", ", TRUE, C464:INDEX(C:C, ROW(C464)+SheetTable02[[#This Row],[Column1]]-1)))</f>
        <v/>
      </c>
    </row>
    <row r="465" spans="1:8" ht="43.2">
      <c r="A465" s="1" t="s">
        <v>207</v>
      </c>
      <c r="B465" s="1" t="s">
        <v>209</v>
      </c>
      <c r="C465" s="1" t="s">
        <v>593</v>
      </c>
      <c r="D465" s="1"/>
      <c r="E465" s="1"/>
      <c r="F465" s="1"/>
      <c r="G465" s="7">
        <f>COUNTIF(SheetTable02[Focal Document
Element],A465)</f>
        <v>14</v>
      </c>
      <c r="H465" s="7" t="str">
        <f>IF(A465=A464,"",_xlfn.TEXTJOIN(", ", TRUE, C465:INDEX(C:C, ROW(C465)+SheetTable02[[#This Row],[Column1]]-1)))</f>
        <v/>
      </c>
    </row>
    <row r="466" spans="1:8" ht="43.2">
      <c r="A466" s="1" t="s">
        <v>207</v>
      </c>
      <c r="B466" s="1" t="s">
        <v>209</v>
      </c>
      <c r="C466" s="1" t="s">
        <v>586</v>
      </c>
      <c r="D466" s="1"/>
      <c r="E466" s="1"/>
      <c r="F466" s="1"/>
      <c r="G466" s="7">
        <f>COUNTIF(SheetTable02[Focal Document
Element],A466)</f>
        <v>14</v>
      </c>
      <c r="H466" s="7" t="str">
        <f>IF(A466=A465,"",_xlfn.TEXTJOIN(", ", TRUE, C466:INDEX(C:C, ROW(C466)+SheetTable02[[#This Row],[Column1]]-1)))</f>
        <v/>
      </c>
    </row>
    <row r="467" spans="1:8" ht="43.2">
      <c r="A467" s="1" t="s">
        <v>207</v>
      </c>
      <c r="B467" s="1" t="s">
        <v>209</v>
      </c>
      <c r="C467" s="1" t="s">
        <v>592</v>
      </c>
      <c r="D467" s="1"/>
      <c r="E467" s="1"/>
      <c r="F467" s="1"/>
      <c r="G467" s="7">
        <f>COUNTIF(SheetTable02[Focal Document
Element],A467)</f>
        <v>14</v>
      </c>
      <c r="H467" s="7" t="str">
        <f>IF(A467=A466,"",_xlfn.TEXTJOIN(", ", TRUE, C467:INDEX(C:C, ROW(C467)+SheetTable02[[#This Row],[Column1]]-1)))</f>
        <v/>
      </c>
    </row>
    <row r="468" spans="1:8" ht="43.2">
      <c r="A468" s="1" t="s">
        <v>207</v>
      </c>
      <c r="B468" s="1" t="s">
        <v>209</v>
      </c>
      <c r="C468" s="1" t="s">
        <v>585</v>
      </c>
      <c r="D468" s="1"/>
      <c r="E468" s="1"/>
      <c r="F468" s="1"/>
      <c r="G468" s="7">
        <f>COUNTIF(SheetTable02[Focal Document
Element],A468)</f>
        <v>14</v>
      </c>
      <c r="H468" s="7" t="str">
        <f>IF(A468=A467,"",_xlfn.TEXTJOIN(", ", TRUE, C468:INDEX(C:C, ROW(C468)+SheetTable02[[#This Row],[Column1]]-1)))</f>
        <v/>
      </c>
    </row>
    <row r="469" spans="1:8" ht="43.2">
      <c r="A469" s="1" t="s">
        <v>207</v>
      </c>
      <c r="B469" s="1" t="s">
        <v>209</v>
      </c>
      <c r="C469" s="1" t="s">
        <v>584</v>
      </c>
      <c r="D469" s="1"/>
      <c r="E469" s="1"/>
      <c r="F469" s="1"/>
      <c r="G469" s="7">
        <f>COUNTIF(SheetTable02[Focal Document
Element],A469)</f>
        <v>14</v>
      </c>
      <c r="H469" s="7" t="str">
        <f>IF(A469=A468,"",_xlfn.TEXTJOIN(", ", TRUE, C469:INDEX(C:C, ROW(C469)+SheetTable02[[#This Row],[Column1]]-1)))</f>
        <v/>
      </c>
    </row>
    <row r="470" spans="1:8" ht="43.2">
      <c r="A470" s="1" t="s">
        <v>207</v>
      </c>
      <c r="B470" s="1" t="s">
        <v>209</v>
      </c>
      <c r="C470" s="1" t="s">
        <v>583</v>
      </c>
      <c r="D470" s="1"/>
      <c r="E470" s="1"/>
      <c r="F470" s="1"/>
      <c r="G470" s="7">
        <f>COUNTIF(SheetTable02[Focal Document
Element],A470)</f>
        <v>14</v>
      </c>
      <c r="H470" s="7" t="str">
        <f>IF(A470=A469,"",_xlfn.TEXTJOIN(", ", TRUE, C470:INDEX(C:C, ROW(C470)+SheetTable02[[#This Row],[Column1]]-1)))</f>
        <v/>
      </c>
    </row>
    <row r="471" spans="1:8" ht="43.2">
      <c r="A471" s="1" t="s">
        <v>207</v>
      </c>
      <c r="B471" s="1" t="s">
        <v>209</v>
      </c>
      <c r="C471" s="1" t="s">
        <v>582</v>
      </c>
      <c r="D471" s="1"/>
      <c r="E471" s="1"/>
      <c r="F471" s="1"/>
      <c r="G471" s="7">
        <f>COUNTIF(SheetTable02[Focal Document
Element],A471)</f>
        <v>14</v>
      </c>
      <c r="H471" s="7" t="str">
        <f>IF(A471=A470,"",_xlfn.TEXTJOIN(", ", TRUE, C471:INDEX(C:C, ROW(C471)+SheetTable02[[#This Row],[Column1]]-1)))</f>
        <v/>
      </c>
    </row>
    <row r="472" spans="1:8" ht="43.2">
      <c r="A472" s="1" t="s">
        <v>207</v>
      </c>
      <c r="B472" s="1" t="s">
        <v>209</v>
      </c>
      <c r="C472" s="1" t="s">
        <v>581</v>
      </c>
      <c r="D472" s="1"/>
      <c r="E472" s="1"/>
      <c r="F472" s="1"/>
      <c r="G472" s="7">
        <f>COUNTIF(SheetTable02[Focal Document
Element],A472)</f>
        <v>14</v>
      </c>
      <c r="H472" s="7" t="str">
        <f>IF(A472=A471,"",_xlfn.TEXTJOIN(", ", TRUE, C472:INDEX(C:C, ROW(C472)+SheetTable02[[#This Row],[Column1]]-1)))</f>
        <v/>
      </c>
    </row>
    <row r="473" spans="1:8" ht="43.2">
      <c r="A473" s="1" t="s">
        <v>211</v>
      </c>
      <c r="B473" s="1" t="s">
        <v>213</v>
      </c>
      <c r="C473" s="1" t="s">
        <v>591</v>
      </c>
      <c r="D473" s="1"/>
      <c r="E473" s="1"/>
      <c r="F473" s="1"/>
      <c r="G473" s="7">
        <f>COUNTIF(SheetTable02[Focal Document
Element],A473)</f>
        <v>1</v>
      </c>
      <c r="H473" s="7" t="str">
        <f>IF(A473=A472,"",_xlfn.TEXTJOIN(", ", TRUE, C473:INDEX(C:C, ROW(C473)+SheetTable02[[#This Row],[Column1]]-1)))</f>
        <v>IA-12</v>
      </c>
    </row>
    <row r="474" spans="1:8" ht="28.8">
      <c r="A474" s="1" t="s">
        <v>215</v>
      </c>
      <c r="B474" s="1" t="s">
        <v>217</v>
      </c>
      <c r="C474" s="1" t="s">
        <v>590</v>
      </c>
      <c r="D474" s="1"/>
      <c r="E474" s="1"/>
      <c r="F474" s="1"/>
      <c r="G474" s="7">
        <f>COUNTIF(SheetTable02[Focal Document
Element],A474)</f>
        <v>10</v>
      </c>
      <c r="H474" s="7" t="str">
        <f>IF(A474=A473,"",_xlfn.TEXTJOIN(", ", TRUE, C474:INDEX(C:C, ROW(C474)+SheetTable02[[#This Row],[Column1]]-1)))</f>
        <v>AC-07
, AC-12, IA-02, IA-03, IA-05, IA-07, IA-08, IA-09, IA-10, IA-11</v>
      </c>
    </row>
    <row r="475" spans="1:8" ht="28.8">
      <c r="A475" s="1" t="s">
        <v>215</v>
      </c>
      <c r="B475" s="1" t="s">
        <v>217</v>
      </c>
      <c r="C475" s="1" t="s">
        <v>589</v>
      </c>
      <c r="D475" s="1"/>
      <c r="E475" s="1"/>
      <c r="F475" s="1"/>
      <c r="G475" s="7">
        <f>COUNTIF(SheetTable02[Focal Document
Element],A475)</f>
        <v>10</v>
      </c>
      <c r="H475" s="7" t="str">
        <f>IF(A475=A474,"",_xlfn.TEXTJOIN(", ", TRUE, C475:INDEX(C:C, ROW(C475)+SheetTable02[[#This Row],[Column1]]-1)))</f>
        <v/>
      </c>
    </row>
    <row r="476" spans="1:8" ht="28.8">
      <c r="A476" s="1" t="s">
        <v>215</v>
      </c>
      <c r="B476" s="1" t="s">
        <v>217</v>
      </c>
      <c r="C476" s="1" t="s">
        <v>588</v>
      </c>
      <c r="D476" s="1"/>
      <c r="E476" s="1"/>
      <c r="F476" s="1"/>
      <c r="G476" s="7">
        <f>COUNTIF(SheetTable02[Focal Document
Element],A476)</f>
        <v>10</v>
      </c>
      <c r="H476" s="7" t="str">
        <f>IF(A476=A475,"",_xlfn.TEXTJOIN(", ", TRUE, C476:INDEX(C:C, ROW(C476)+SheetTable02[[#This Row],[Column1]]-1)))</f>
        <v/>
      </c>
    </row>
    <row r="477" spans="1:8" ht="28.8">
      <c r="A477" s="1" t="s">
        <v>215</v>
      </c>
      <c r="B477" s="1" t="s">
        <v>217</v>
      </c>
      <c r="C477" s="1" t="s">
        <v>587</v>
      </c>
      <c r="D477" s="1"/>
      <c r="E477" s="1"/>
      <c r="F477" s="1"/>
      <c r="G477" s="7">
        <f>COUNTIF(SheetTable02[Focal Document
Element],A477)</f>
        <v>10</v>
      </c>
      <c r="H477" s="7" t="str">
        <f>IF(A477=A476,"",_xlfn.TEXTJOIN(", ", TRUE, C477:INDEX(C:C, ROW(C477)+SheetTable02[[#This Row],[Column1]]-1)))</f>
        <v/>
      </c>
    </row>
    <row r="478" spans="1:8" ht="28.8">
      <c r="A478" s="1" t="s">
        <v>215</v>
      </c>
      <c r="B478" s="1" t="s">
        <v>217</v>
      </c>
      <c r="C478" s="1" t="s">
        <v>586</v>
      </c>
      <c r="D478" s="1"/>
      <c r="E478" s="1"/>
      <c r="F478" s="1"/>
      <c r="G478" s="7">
        <f>COUNTIF(SheetTable02[Focal Document
Element],A478)</f>
        <v>10</v>
      </c>
      <c r="H478" s="7" t="str">
        <f>IF(A478=A477,"",_xlfn.TEXTJOIN(", ", TRUE, C478:INDEX(C:C, ROW(C478)+SheetTable02[[#This Row],[Column1]]-1)))</f>
        <v/>
      </c>
    </row>
    <row r="479" spans="1:8" ht="28.8">
      <c r="A479" s="1" t="s">
        <v>215</v>
      </c>
      <c r="B479" s="1" t="s">
        <v>217</v>
      </c>
      <c r="C479" s="1" t="s">
        <v>585</v>
      </c>
      <c r="D479" s="1"/>
      <c r="E479" s="1"/>
      <c r="F479" s="1"/>
      <c r="G479" s="7">
        <f>COUNTIF(SheetTable02[Focal Document
Element],A479)</f>
        <v>10</v>
      </c>
      <c r="H479" s="7" t="str">
        <f>IF(A479=A478,"",_xlfn.TEXTJOIN(", ", TRUE, C479:INDEX(C:C, ROW(C479)+SheetTable02[[#This Row],[Column1]]-1)))</f>
        <v/>
      </c>
    </row>
    <row r="480" spans="1:8" ht="28.8">
      <c r="A480" s="1" t="s">
        <v>215</v>
      </c>
      <c r="B480" s="1" t="s">
        <v>217</v>
      </c>
      <c r="C480" s="1" t="s">
        <v>584</v>
      </c>
      <c r="D480" s="1"/>
      <c r="E480" s="1"/>
      <c r="F480" s="1"/>
      <c r="G480" s="7">
        <f>COUNTIF(SheetTable02[Focal Document
Element],A480)</f>
        <v>10</v>
      </c>
      <c r="H480" s="7" t="str">
        <f>IF(A480=A479,"",_xlfn.TEXTJOIN(", ", TRUE, C480:INDEX(C:C, ROW(C480)+SheetTable02[[#This Row],[Column1]]-1)))</f>
        <v/>
      </c>
    </row>
    <row r="481" spans="1:8" ht="28.8">
      <c r="A481" s="1" t="s">
        <v>215</v>
      </c>
      <c r="B481" s="1" t="s">
        <v>217</v>
      </c>
      <c r="C481" s="1" t="s">
        <v>583</v>
      </c>
      <c r="D481" s="1"/>
      <c r="E481" s="1"/>
      <c r="F481" s="1"/>
      <c r="G481" s="7">
        <f>COUNTIF(SheetTable02[Focal Document
Element],A481)</f>
        <v>10</v>
      </c>
      <c r="H481" s="7" t="str">
        <f>IF(A481=A480,"",_xlfn.TEXTJOIN(", ", TRUE, C481:INDEX(C:C, ROW(C481)+SheetTable02[[#This Row],[Column1]]-1)))</f>
        <v/>
      </c>
    </row>
    <row r="482" spans="1:8" ht="28.8">
      <c r="A482" s="1" t="s">
        <v>215</v>
      </c>
      <c r="B482" s="1" t="s">
        <v>217</v>
      </c>
      <c r="C482" s="1" t="s">
        <v>582</v>
      </c>
      <c r="D482" s="1"/>
      <c r="E482" s="1"/>
      <c r="F482" s="1"/>
      <c r="G482" s="7">
        <f>COUNTIF(SheetTable02[Focal Document
Element],A482)</f>
        <v>10</v>
      </c>
      <c r="H482" s="7" t="str">
        <f>IF(A482=A481,"",_xlfn.TEXTJOIN(", ", TRUE, C482:INDEX(C:C, ROW(C482)+SheetTable02[[#This Row],[Column1]]-1)))</f>
        <v/>
      </c>
    </row>
    <row r="483" spans="1:8" ht="28.8">
      <c r="A483" s="1" t="s">
        <v>215</v>
      </c>
      <c r="B483" s="1" t="s">
        <v>217</v>
      </c>
      <c r="C483" s="1" t="s">
        <v>581</v>
      </c>
      <c r="D483" s="1"/>
      <c r="E483" s="1"/>
      <c r="F483" s="1"/>
      <c r="G483" s="7">
        <f>COUNTIF(SheetTable02[Focal Document
Element],A483)</f>
        <v>10</v>
      </c>
      <c r="H483" s="7" t="str">
        <f>IF(A483=A482,"",_xlfn.TEXTJOIN(", ", TRUE, C483:INDEX(C:C, ROW(C483)+SheetTable02[[#This Row],[Column1]]-1)))</f>
        <v/>
      </c>
    </row>
    <row r="484" spans="1:8" ht="28.8">
      <c r="A484" s="1" t="s">
        <v>219</v>
      </c>
      <c r="B484" s="1" t="s">
        <v>220</v>
      </c>
      <c r="C484" s="1" t="s">
        <v>571</v>
      </c>
      <c r="D484" s="1"/>
      <c r="E484" s="1"/>
      <c r="F484" s="1"/>
      <c r="G484" s="7">
        <f>COUNTIF(SheetTable02[Focal Document
Element],A484)</f>
        <v>1</v>
      </c>
      <c r="H484" s="7" t="str">
        <f>IF(A484=A483,"",_xlfn.TEXTJOIN(", ", TRUE, C484:INDEX(C:C, ROW(C484)+SheetTable02[[#This Row],[Column1]]-1)))</f>
        <v>IA-13</v>
      </c>
    </row>
    <row r="485" spans="1:8" ht="72">
      <c r="A485" s="1" t="s">
        <v>222</v>
      </c>
      <c r="B485" s="1" t="s">
        <v>223</v>
      </c>
      <c r="C485" s="1" t="s">
        <v>580</v>
      </c>
      <c r="D485" s="1"/>
      <c r="E485" s="1"/>
      <c r="F485" s="1"/>
      <c r="G485" s="7">
        <f>COUNTIF(SheetTable02[Focal Document
Element],A485)</f>
        <v>12</v>
      </c>
      <c r="H485" s="7" t="str">
        <f>IF(A485=A484,"",_xlfn.TEXTJOIN(", ", TRUE, C485:INDEX(C:C, ROW(C485)+SheetTable02[[#This Row],[Column1]]-1)))</f>
        <v>AC-01, AC-02, AC-03, AC-05, AC-06, AC-10, AC-16, AC-17, AC-18, AC-19, AC-24, IA-13</v>
      </c>
    </row>
    <row r="486" spans="1:8" ht="72">
      <c r="A486" s="1" t="s">
        <v>222</v>
      </c>
      <c r="B486" s="1" t="s">
        <v>223</v>
      </c>
      <c r="C486" s="1" t="s">
        <v>480</v>
      </c>
      <c r="D486" s="1"/>
      <c r="E486" s="1"/>
      <c r="F486" s="1"/>
      <c r="G486" s="7">
        <f>COUNTIF(SheetTable02[Focal Document
Element],A486)</f>
        <v>12</v>
      </c>
      <c r="H486" s="7" t="str">
        <f>IF(A486=A485,"",_xlfn.TEXTJOIN(", ", TRUE, C486:INDEX(C:C, ROW(C486)+SheetTable02[[#This Row],[Column1]]-1)))</f>
        <v/>
      </c>
    </row>
    <row r="487" spans="1:8" ht="72">
      <c r="A487" s="1" t="s">
        <v>222</v>
      </c>
      <c r="B487" s="1" t="s">
        <v>223</v>
      </c>
      <c r="C487" s="1" t="s">
        <v>512</v>
      </c>
      <c r="D487" s="1"/>
      <c r="E487" s="1"/>
      <c r="F487" s="1"/>
      <c r="G487" s="7">
        <f>COUNTIF(SheetTable02[Focal Document
Element],A487)</f>
        <v>12</v>
      </c>
      <c r="H487" s="7" t="str">
        <f>IF(A487=A486,"",_xlfn.TEXTJOIN(", ", TRUE, C487:INDEX(C:C, ROW(C487)+SheetTable02[[#This Row],[Column1]]-1)))</f>
        <v/>
      </c>
    </row>
    <row r="488" spans="1:8" ht="72">
      <c r="A488" s="1" t="s">
        <v>222</v>
      </c>
      <c r="B488" s="1" t="s">
        <v>223</v>
      </c>
      <c r="C488" s="1" t="s">
        <v>579</v>
      </c>
      <c r="D488" s="1"/>
      <c r="E488" s="1"/>
      <c r="F488" s="1"/>
      <c r="G488" s="7">
        <f>COUNTIF(SheetTable02[Focal Document
Element],A488)</f>
        <v>12</v>
      </c>
      <c r="H488" s="7" t="str">
        <f>IF(A488=A487,"",_xlfn.TEXTJOIN(", ", TRUE, C488:INDEX(C:C, ROW(C488)+SheetTable02[[#This Row],[Column1]]-1)))</f>
        <v/>
      </c>
    </row>
    <row r="489" spans="1:8" ht="72">
      <c r="A489" s="1" t="s">
        <v>222</v>
      </c>
      <c r="B489" s="1" t="s">
        <v>223</v>
      </c>
      <c r="C489" s="1" t="s">
        <v>578</v>
      </c>
      <c r="D489" s="1"/>
      <c r="E489" s="1"/>
      <c r="F489" s="1"/>
      <c r="G489" s="7">
        <f>COUNTIF(SheetTable02[Focal Document
Element],A489)</f>
        <v>12</v>
      </c>
      <c r="H489" s="7" t="str">
        <f>IF(A489=A488,"",_xlfn.TEXTJOIN(", ", TRUE, C489:INDEX(C:C, ROW(C489)+SheetTable02[[#This Row],[Column1]]-1)))</f>
        <v/>
      </c>
    </row>
    <row r="490" spans="1:8" ht="72">
      <c r="A490" s="1" t="s">
        <v>222</v>
      </c>
      <c r="B490" s="1" t="s">
        <v>223</v>
      </c>
      <c r="C490" s="1" t="s">
        <v>577</v>
      </c>
      <c r="D490" s="1"/>
      <c r="E490" s="1"/>
      <c r="F490" s="1"/>
      <c r="G490" s="7">
        <f>COUNTIF(SheetTable02[Focal Document
Element],A490)</f>
        <v>12</v>
      </c>
      <c r="H490" s="7" t="str">
        <f>IF(A490=A489,"",_xlfn.TEXTJOIN(", ", TRUE, C490:INDEX(C:C, ROW(C490)+SheetTable02[[#This Row],[Column1]]-1)))</f>
        <v/>
      </c>
    </row>
    <row r="491" spans="1:8" ht="72">
      <c r="A491" s="1" t="s">
        <v>222</v>
      </c>
      <c r="B491" s="1" t="s">
        <v>223</v>
      </c>
      <c r="C491" s="1" t="s">
        <v>576</v>
      </c>
      <c r="D491" s="1"/>
      <c r="E491" s="1"/>
      <c r="F491" s="1"/>
      <c r="G491" s="7">
        <f>COUNTIF(SheetTable02[Focal Document
Element],A491)</f>
        <v>12</v>
      </c>
      <c r="H491" s="7" t="str">
        <f>IF(A491=A490,"",_xlfn.TEXTJOIN(", ", TRUE, C491:INDEX(C:C, ROW(C491)+SheetTable02[[#This Row],[Column1]]-1)))</f>
        <v/>
      </c>
    </row>
    <row r="492" spans="1:8" ht="72">
      <c r="A492" s="1" t="s">
        <v>222</v>
      </c>
      <c r="B492" s="1" t="s">
        <v>223</v>
      </c>
      <c r="C492" s="1" t="s">
        <v>575</v>
      </c>
      <c r="D492" s="1"/>
      <c r="E492" s="1"/>
      <c r="F492" s="1"/>
      <c r="G492" s="7">
        <f>COUNTIF(SheetTable02[Focal Document
Element],A492)</f>
        <v>12</v>
      </c>
      <c r="H492" s="7" t="str">
        <f>IF(A492=A491,"",_xlfn.TEXTJOIN(", ", TRUE, C492:INDEX(C:C, ROW(C492)+SheetTable02[[#This Row],[Column1]]-1)))</f>
        <v/>
      </c>
    </row>
    <row r="493" spans="1:8" ht="72">
      <c r="A493" s="1" t="s">
        <v>222</v>
      </c>
      <c r="B493" s="1" t="s">
        <v>223</v>
      </c>
      <c r="C493" s="1" t="s">
        <v>574</v>
      </c>
      <c r="D493" s="1"/>
      <c r="E493" s="1"/>
      <c r="F493" s="1"/>
      <c r="G493" s="7">
        <f>COUNTIF(SheetTable02[Focal Document
Element],A493)</f>
        <v>12</v>
      </c>
      <c r="H493" s="7" t="str">
        <f>IF(A493=A492,"",_xlfn.TEXTJOIN(", ", TRUE, C493:INDEX(C:C, ROW(C493)+SheetTable02[[#This Row],[Column1]]-1)))</f>
        <v/>
      </c>
    </row>
    <row r="494" spans="1:8" ht="72">
      <c r="A494" s="1" t="s">
        <v>222</v>
      </c>
      <c r="B494" s="1" t="s">
        <v>223</v>
      </c>
      <c r="C494" s="1" t="s">
        <v>573</v>
      </c>
      <c r="D494" s="1"/>
      <c r="E494" s="1"/>
      <c r="F494" s="1"/>
      <c r="G494" s="7">
        <f>COUNTIF(SheetTable02[Focal Document
Element],A494)</f>
        <v>12</v>
      </c>
      <c r="H494" s="7" t="str">
        <f>IF(A494=A493,"",_xlfn.TEXTJOIN(", ", TRUE, C494:INDEX(C:C, ROW(C494)+SheetTable02[[#This Row],[Column1]]-1)))</f>
        <v/>
      </c>
    </row>
    <row r="495" spans="1:8" ht="72">
      <c r="A495" s="1" t="s">
        <v>222</v>
      </c>
      <c r="B495" s="1" t="s">
        <v>223</v>
      </c>
      <c r="C495" s="1" t="s">
        <v>572</v>
      </c>
      <c r="D495" s="1"/>
      <c r="E495" s="1"/>
      <c r="F495" s="1"/>
      <c r="G495" s="7">
        <f>COUNTIF(SheetTable02[Focal Document
Element],A495)</f>
        <v>12</v>
      </c>
      <c r="H495" s="7" t="str">
        <f>IF(A495=A494,"",_xlfn.TEXTJOIN(", ", TRUE, C495:INDEX(C:C, ROW(C495)+SheetTable02[[#This Row],[Column1]]-1)))</f>
        <v/>
      </c>
    </row>
    <row r="496" spans="1:8" ht="72">
      <c r="A496" s="1" t="s">
        <v>222</v>
      </c>
      <c r="B496" s="1" t="s">
        <v>223</v>
      </c>
      <c r="C496" s="1" t="s">
        <v>571</v>
      </c>
      <c r="D496" s="1"/>
      <c r="E496" s="1"/>
      <c r="F496" s="1"/>
      <c r="G496" s="7">
        <f>COUNTIF(SheetTable02[Focal Document
Element],A496)</f>
        <v>12</v>
      </c>
      <c r="H496" s="7" t="str">
        <f>IF(A496=A495,"",_xlfn.TEXTJOIN(", ", TRUE, C496:INDEX(C:C, ROW(C496)+SheetTable02[[#This Row],[Column1]]-1)))</f>
        <v/>
      </c>
    </row>
    <row r="497" spans="1:8" ht="43.2">
      <c r="A497" s="1" t="s">
        <v>225</v>
      </c>
      <c r="B497" s="1" t="s">
        <v>227</v>
      </c>
      <c r="C497" s="1" t="s">
        <v>570</v>
      </c>
      <c r="D497" s="1"/>
      <c r="E497" s="1"/>
      <c r="F497" s="1"/>
      <c r="G497" s="7">
        <f>COUNTIF(SheetTable02[Focal Document
Element],A497)</f>
        <v>9</v>
      </c>
      <c r="H497" s="7" t="str">
        <f>IF(A497=A496,"",_xlfn.TEXTJOIN(", ", TRUE, C497:INDEX(C:C, ROW(C497)+SheetTable02[[#This Row],[Column1]]-1)))</f>
        <v>PE-02, PE-03, PE-04, PE-05, PE-06, PE-08, PE-18, PE-19, PE-20</v>
      </c>
    </row>
    <row r="498" spans="1:8" ht="43.2">
      <c r="A498" s="1" t="s">
        <v>225</v>
      </c>
      <c r="B498" s="1" t="s">
        <v>227</v>
      </c>
      <c r="C498" s="1" t="s">
        <v>483</v>
      </c>
      <c r="D498" s="1"/>
      <c r="E498" s="1"/>
      <c r="F498" s="1"/>
      <c r="G498" s="7">
        <f>COUNTIF(SheetTable02[Focal Document
Element],A498)</f>
        <v>9</v>
      </c>
      <c r="H498" s="7" t="str">
        <f>IF(A498=A497,"",_xlfn.TEXTJOIN(", ", TRUE, C498:INDEX(C:C, ROW(C498)+SheetTable02[[#This Row],[Column1]]-1)))</f>
        <v/>
      </c>
    </row>
    <row r="499" spans="1:8" ht="43.2">
      <c r="A499" s="1" t="s">
        <v>225</v>
      </c>
      <c r="B499" s="1" t="s">
        <v>227</v>
      </c>
      <c r="C499" s="1" t="s">
        <v>569</v>
      </c>
      <c r="D499" s="1"/>
      <c r="E499" s="1"/>
      <c r="F499" s="1"/>
      <c r="G499" s="7">
        <f>COUNTIF(SheetTable02[Focal Document
Element],A499)</f>
        <v>9</v>
      </c>
      <c r="H499" s="7" t="str">
        <f>IF(A499=A498,"",_xlfn.TEXTJOIN(", ", TRUE, C499:INDEX(C:C, ROW(C499)+SheetTable02[[#This Row],[Column1]]-1)))</f>
        <v/>
      </c>
    </row>
    <row r="500" spans="1:8" ht="43.2">
      <c r="A500" s="1" t="s">
        <v>225</v>
      </c>
      <c r="B500" s="1" t="s">
        <v>227</v>
      </c>
      <c r="C500" s="1" t="s">
        <v>568</v>
      </c>
      <c r="D500" s="1"/>
      <c r="E500" s="1"/>
      <c r="F500" s="1"/>
      <c r="G500" s="7">
        <f>COUNTIF(SheetTable02[Focal Document
Element],A500)</f>
        <v>9</v>
      </c>
      <c r="H500" s="7" t="str">
        <f>IF(A500=A499,"",_xlfn.TEXTJOIN(", ", TRUE, C500:INDEX(C:C, ROW(C500)+SheetTable02[[#This Row],[Column1]]-1)))</f>
        <v/>
      </c>
    </row>
    <row r="501" spans="1:8" ht="43.2">
      <c r="A501" s="1" t="s">
        <v>225</v>
      </c>
      <c r="B501" s="1" t="s">
        <v>227</v>
      </c>
      <c r="C501" s="1" t="s">
        <v>482</v>
      </c>
      <c r="D501" s="1"/>
      <c r="E501" s="1"/>
      <c r="F501" s="1"/>
      <c r="G501" s="7">
        <f>COUNTIF(SheetTable02[Focal Document
Element],A501)</f>
        <v>9</v>
      </c>
      <c r="H501" s="7" t="str">
        <f>IF(A501=A500,"",_xlfn.TEXTJOIN(", ", TRUE, C501:INDEX(C:C, ROW(C501)+SheetTable02[[#This Row],[Column1]]-1)))</f>
        <v/>
      </c>
    </row>
    <row r="502" spans="1:8" ht="43.2">
      <c r="A502" s="1" t="s">
        <v>225</v>
      </c>
      <c r="B502" s="1" t="s">
        <v>227</v>
      </c>
      <c r="C502" s="1" t="s">
        <v>567</v>
      </c>
      <c r="D502" s="1"/>
      <c r="E502" s="1"/>
      <c r="F502" s="1"/>
      <c r="G502" s="7">
        <f>COUNTIF(SheetTable02[Focal Document
Element],A502)</f>
        <v>9</v>
      </c>
      <c r="H502" s="7" t="str">
        <f>IF(A502=A501,"",_xlfn.TEXTJOIN(", ", TRUE, C502:INDEX(C:C, ROW(C502)+SheetTable02[[#This Row],[Column1]]-1)))</f>
        <v/>
      </c>
    </row>
    <row r="503" spans="1:8" ht="43.2">
      <c r="A503" s="1" t="s">
        <v>225</v>
      </c>
      <c r="B503" s="1" t="s">
        <v>227</v>
      </c>
      <c r="C503" s="1" t="s">
        <v>503</v>
      </c>
      <c r="D503" s="1"/>
      <c r="E503" s="1"/>
      <c r="F503" s="1"/>
      <c r="G503" s="7">
        <f>COUNTIF(SheetTable02[Focal Document
Element],A503)</f>
        <v>9</v>
      </c>
      <c r="H503" s="7" t="str">
        <f>IF(A503=A502,"",_xlfn.TEXTJOIN(", ", TRUE, C503:INDEX(C:C, ROW(C503)+SheetTable02[[#This Row],[Column1]]-1)))</f>
        <v/>
      </c>
    </row>
    <row r="504" spans="1:8" ht="43.2">
      <c r="A504" s="1" t="s">
        <v>225</v>
      </c>
      <c r="B504" s="1" t="s">
        <v>227</v>
      </c>
      <c r="C504" s="1" t="s">
        <v>566</v>
      </c>
      <c r="D504" s="1"/>
      <c r="E504" s="1"/>
      <c r="F504" s="1"/>
      <c r="G504" s="7">
        <f>COUNTIF(SheetTable02[Focal Document
Element],A504)</f>
        <v>9</v>
      </c>
      <c r="H504" s="7" t="str">
        <f>IF(A504=A503,"",_xlfn.TEXTJOIN(", ", TRUE, C504:INDEX(C:C, ROW(C504)+SheetTable02[[#This Row],[Column1]]-1)))</f>
        <v/>
      </c>
    </row>
    <row r="505" spans="1:8" ht="43.2">
      <c r="A505" s="1" t="s">
        <v>225</v>
      </c>
      <c r="B505" s="1" t="s">
        <v>227</v>
      </c>
      <c r="C505" s="1" t="s">
        <v>481</v>
      </c>
      <c r="D505" s="1"/>
      <c r="E505" s="1"/>
      <c r="F505" s="1"/>
      <c r="G505" s="7">
        <f>COUNTIF(SheetTable02[Focal Document
Element],A505)</f>
        <v>9</v>
      </c>
      <c r="H505" s="7" t="str">
        <f>IF(A505=A504,"",_xlfn.TEXTJOIN(", ", TRUE, C505:INDEX(C:C, ROW(C505)+SheetTable02[[#This Row],[Column1]]-1)))</f>
        <v/>
      </c>
    </row>
    <row r="506" spans="1:8" ht="57.6">
      <c r="A506" s="1" t="s">
        <v>565</v>
      </c>
      <c r="B506" s="1" t="s">
        <v>564</v>
      </c>
      <c r="C506" s="1"/>
      <c r="D506" s="1"/>
      <c r="E506" s="1"/>
      <c r="F506" s="1"/>
      <c r="G506" s="7">
        <f>COUNTIF(SheetTable02[Focal Document
Element],A506)</f>
        <v>1</v>
      </c>
      <c r="H506" s="7" t="str">
        <f>IF(A506=A505,"",_xlfn.TEXTJOIN(", ", TRUE, C506:INDEX(C:C, ROW(C506)+SheetTable02[[#This Row],[Column1]]-1)))</f>
        <v/>
      </c>
    </row>
    <row r="507" spans="1:8" ht="57.6">
      <c r="A507" s="1" t="s">
        <v>229</v>
      </c>
      <c r="B507" s="1" t="s">
        <v>231</v>
      </c>
      <c r="C507" s="1" t="s">
        <v>563</v>
      </c>
      <c r="D507" s="1"/>
      <c r="E507" s="1"/>
      <c r="F507" s="1"/>
      <c r="G507" s="7">
        <f>COUNTIF(SheetTable02[Focal Document
Element],A507)</f>
        <v>2</v>
      </c>
      <c r="H507" s="7" t="str">
        <f>IF(A507=A506,"",_xlfn.TEXTJOIN(", ", TRUE, C507:INDEX(C:C, ROW(C507)+SheetTable02[[#This Row],[Column1]]-1)))</f>
        <v>AT-02
, AT-03</v>
      </c>
    </row>
    <row r="508" spans="1:8" ht="57.6">
      <c r="A508" s="1" t="s">
        <v>229</v>
      </c>
      <c r="B508" s="1" t="s">
        <v>231</v>
      </c>
      <c r="C508" s="1" t="s">
        <v>562</v>
      </c>
      <c r="D508" s="1"/>
      <c r="E508" s="1"/>
      <c r="F508" s="1"/>
      <c r="G508" s="7">
        <f>COUNTIF(SheetTable02[Focal Document
Element],A508)</f>
        <v>2</v>
      </c>
      <c r="H508" s="7" t="str">
        <f>IF(A508=A507,"",_xlfn.TEXTJOIN(", ", TRUE, C508:INDEX(C:C, ROW(C508)+SheetTable02[[#This Row],[Column1]]-1)))</f>
        <v/>
      </c>
    </row>
    <row r="509" spans="1:8" ht="72">
      <c r="A509" s="1" t="s">
        <v>233</v>
      </c>
      <c r="B509" s="1" t="s">
        <v>235</v>
      </c>
      <c r="C509" s="1" t="s">
        <v>562</v>
      </c>
      <c r="D509" s="1"/>
      <c r="E509" s="1"/>
      <c r="F509" s="1"/>
      <c r="G509" s="7">
        <f>COUNTIF(SheetTable02[Focal Document
Element],A509)</f>
        <v>1</v>
      </c>
      <c r="H509" s="7" t="str">
        <f>IF(A509=A508,"",_xlfn.TEXTJOIN(", ", TRUE, C509:INDEX(C:C, ROW(C509)+SheetTable02[[#This Row],[Column1]]-1)))</f>
        <v>AT-03</v>
      </c>
    </row>
    <row r="510" spans="1:8" ht="57.6">
      <c r="A510" s="1" t="s">
        <v>561</v>
      </c>
      <c r="B510" s="1" t="s">
        <v>560</v>
      </c>
      <c r="C510" s="1"/>
      <c r="D510" s="1"/>
      <c r="E510" s="1"/>
      <c r="F510" s="1"/>
      <c r="G510" s="7">
        <f>COUNTIF(SheetTable02[Focal Document
Element],A510)</f>
        <v>1</v>
      </c>
      <c r="H510" s="7" t="str">
        <f>IF(A510=A509,"",_xlfn.TEXTJOIN(", ", TRUE, C510:INDEX(C:C, ROW(C510)+SheetTable02[[#This Row],[Column1]]-1)))</f>
        <v/>
      </c>
    </row>
    <row r="511" spans="1:8" ht="43.2">
      <c r="A511" s="1" t="s">
        <v>237</v>
      </c>
      <c r="B511" s="1" t="s">
        <v>239</v>
      </c>
      <c r="C511" s="1" t="s">
        <v>552</v>
      </c>
      <c r="D511" s="1"/>
      <c r="E511" s="1"/>
      <c r="F511" s="1"/>
      <c r="G511" s="7">
        <f>COUNTIF(SheetTable02[Focal Document
Element],A511)</f>
        <v>14</v>
      </c>
      <c r="H511" s="7" t="str">
        <f>IF(A511=A510,"",_xlfn.TEXTJOIN(", ", TRUE, C511:INDEX(C:C, ROW(C511)+SheetTable02[[#This Row],[Column1]]-1)))</f>
        <v>CA-03, CP-09, MP-08, SC-04, SC-07, SC-12, SC-13, SC-28, SC-32, SC-39, SC-43, SI-03, SI-04, SI-07</v>
      </c>
    </row>
    <row r="512" spans="1:8" ht="43.2">
      <c r="A512" s="1" t="s">
        <v>237</v>
      </c>
      <c r="B512" s="1" t="s">
        <v>239</v>
      </c>
      <c r="C512" s="1" t="s">
        <v>428</v>
      </c>
      <c r="D512" s="1"/>
      <c r="E512" s="1"/>
      <c r="F512" s="1"/>
      <c r="G512" s="7">
        <f>COUNTIF(SheetTable02[Focal Document
Element],A512)</f>
        <v>14</v>
      </c>
      <c r="H512" s="7" t="str">
        <f>IF(A512=A511,"",_xlfn.TEXTJOIN(", ", TRUE, C512:INDEX(C:C, ROW(C512)+SheetTable02[[#This Row],[Column1]]-1)))</f>
        <v/>
      </c>
    </row>
    <row r="513" spans="1:8" ht="43.2">
      <c r="A513" s="1" t="s">
        <v>237</v>
      </c>
      <c r="B513" s="1" t="s">
        <v>239</v>
      </c>
      <c r="C513" s="1" t="s">
        <v>559</v>
      </c>
      <c r="D513" s="1"/>
      <c r="E513" s="1"/>
      <c r="F513" s="1"/>
      <c r="G513" s="7">
        <f>COUNTIF(SheetTable02[Focal Document
Element],A513)</f>
        <v>14</v>
      </c>
      <c r="H513" s="7" t="str">
        <f>IF(A513=A512,"",_xlfn.TEXTJOIN(", ", TRUE, C513:INDEX(C:C, ROW(C513)+SheetTable02[[#This Row],[Column1]]-1)))</f>
        <v/>
      </c>
    </row>
    <row r="514" spans="1:8" ht="43.2">
      <c r="A514" s="1" t="s">
        <v>237</v>
      </c>
      <c r="B514" s="1" t="s">
        <v>239</v>
      </c>
      <c r="C514" s="1" t="s">
        <v>511</v>
      </c>
      <c r="D514" s="1"/>
      <c r="E514" s="1"/>
      <c r="F514" s="1"/>
      <c r="G514" s="7">
        <f>COUNTIF(SheetTable02[Focal Document
Element],A514)</f>
        <v>14</v>
      </c>
      <c r="H514" s="7" t="str">
        <f>IF(A514=A513,"",_xlfn.TEXTJOIN(", ", TRUE, C514:INDEX(C:C, ROW(C514)+SheetTable02[[#This Row],[Column1]]-1)))</f>
        <v/>
      </c>
    </row>
    <row r="515" spans="1:8" ht="43.2">
      <c r="A515" s="1" t="s">
        <v>237</v>
      </c>
      <c r="B515" s="1" t="s">
        <v>239</v>
      </c>
      <c r="C515" s="1" t="s">
        <v>484</v>
      </c>
      <c r="D515" s="1"/>
      <c r="E515" s="1"/>
      <c r="F515" s="1"/>
      <c r="G515" s="7">
        <f>COUNTIF(SheetTable02[Focal Document
Element],A515)</f>
        <v>14</v>
      </c>
      <c r="H515" s="7" t="str">
        <f>IF(A515=A514,"",_xlfn.TEXTJOIN(", ", TRUE, C515:INDEX(C:C, ROW(C515)+SheetTable02[[#This Row],[Column1]]-1)))</f>
        <v/>
      </c>
    </row>
    <row r="516" spans="1:8" ht="43.2">
      <c r="A516" s="1" t="s">
        <v>237</v>
      </c>
      <c r="B516" s="1" t="s">
        <v>239</v>
      </c>
      <c r="C516" s="1" t="s">
        <v>555</v>
      </c>
      <c r="D516" s="1"/>
      <c r="E516" s="1"/>
      <c r="F516" s="1"/>
      <c r="G516" s="7">
        <f>COUNTIF(SheetTable02[Focal Document
Element],A516)</f>
        <v>14</v>
      </c>
      <c r="H516" s="7" t="str">
        <f>IF(A516=A515,"",_xlfn.TEXTJOIN(", ", TRUE, C516:INDEX(C:C, ROW(C516)+SheetTable02[[#This Row],[Column1]]-1)))</f>
        <v/>
      </c>
    </row>
    <row r="517" spans="1:8" ht="43.2">
      <c r="A517" s="1" t="s">
        <v>237</v>
      </c>
      <c r="B517" s="1" t="s">
        <v>239</v>
      </c>
      <c r="C517" s="1" t="s">
        <v>550</v>
      </c>
      <c r="D517" s="1"/>
      <c r="E517" s="1"/>
      <c r="F517" s="1"/>
      <c r="G517" s="7">
        <f>COUNTIF(SheetTable02[Focal Document
Element],A517)</f>
        <v>14</v>
      </c>
      <c r="H517" s="7" t="str">
        <f>IF(A517=A516,"",_xlfn.TEXTJOIN(", ", TRUE, C517:INDEX(C:C, ROW(C517)+SheetTable02[[#This Row],[Column1]]-1)))</f>
        <v/>
      </c>
    </row>
    <row r="518" spans="1:8" ht="43.2">
      <c r="A518" s="1" t="s">
        <v>237</v>
      </c>
      <c r="B518" s="1" t="s">
        <v>239</v>
      </c>
      <c r="C518" s="1" t="s">
        <v>558</v>
      </c>
      <c r="D518" s="1"/>
      <c r="E518" s="1"/>
      <c r="F518" s="1"/>
      <c r="G518" s="7">
        <f>COUNTIF(SheetTable02[Focal Document
Element],A518)</f>
        <v>14</v>
      </c>
      <c r="H518" s="7" t="str">
        <f>IF(A518=A517,"",_xlfn.TEXTJOIN(", ", TRUE, C518:INDEX(C:C, ROW(C518)+SheetTable02[[#This Row],[Column1]]-1)))</f>
        <v/>
      </c>
    </row>
    <row r="519" spans="1:8" ht="43.2">
      <c r="A519" s="1" t="s">
        <v>237</v>
      </c>
      <c r="B519" s="1" t="s">
        <v>239</v>
      </c>
      <c r="C519" s="1" t="s">
        <v>549</v>
      </c>
      <c r="D519" s="1"/>
      <c r="E519" s="1"/>
      <c r="F519" s="1"/>
      <c r="G519" s="7">
        <f>COUNTIF(SheetTable02[Focal Document
Element],A519)</f>
        <v>14</v>
      </c>
      <c r="H519" s="7" t="str">
        <f>IF(A519=A518,"",_xlfn.TEXTJOIN(", ", TRUE, C519:INDEX(C:C, ROW(C519)+SheetTable02[[#This Row],[Column1]]-1)))</f>
        <v/>
      </c>
    </row>
    <row r="520" spans="1:8" ht="43.2">
      <c r="A520" s="1" t="s">
        <v>237</v>
      </c>
      <c r="B520" s="1" t="s">
        <v>239</v>
      </c>
      <c r="C520" s="1" t="s">
        <v>495</v>
      </c>
      <c r="D520" s="1"/>
      <c r="E520" s="1"/>
      <c r="F520" s="1"/>
      <c r="G520" s="7">
        <f>COUNTIF(SheetTable02[Focal Document
Element],A520)</f>
        <v>14</v>
      </c>
      <c r="H520" s="7" t="str">
        <f>IF(A520=A519,"",_xlfn.TEXTJOIN(", ", TRUE, C520:INDEX(C:C, ROW(C520)+SheetTable02[[#This Row],[Column1]]-1)))</f>
        <v/>
      </c>
    </row>
    <row r="521" spans="1:8" ht="43.2">
      <c r="A521" s="1" t="s">
        <v>237</v>
      </c>
      <c r="B521" s="1" t="s">
        <v>239</v>
      </c>
      <c r="C521" s="1" t="s">
        <v>547</v>
      </c>
      <c r="D521" s="1"/>
      <c r="E521" s="1"/>
      <c r="F521" s="1"/>
      <c r="G521" s="7">
        <f>COUNTIF(SheetTable02[Focal Document
Element],A521)</f>
        <v>14</v>
      </c>
      <c r="H521" s="7" t="str">
        <f>IF(A521=A520,"",_xlfn.TEXTJOIN(", ", TRUE, C521:INDEX(C:C, ROW(C521)+SheetTable02[[#This Row],[Column1]]-1)))</f>
        <v/>
      </c>
    </row>
    <row r="522" spans="1:8" ht="43.2">
      <c r="A522" s="1" t="s">
        <v>237</v>
      </c>
      <c r="B522" s="1" t="s">
        <v>239</v>
      </c>
      <c r="C522" s="1" t="s">
        <v>546</v>
      </c>
      <c r="D522" s="1"/>
      <c r="E522" s="1"/>
      <c r="F522" s="1"/>
      <c r="G522" s="7">
        <f>COUNTIF(SheetTable02[Focal Document
Element],A522)</f>
        <v>14</v>
      </c>
      <c r="H522" s="7" t="str">
        <f>IF(A522=A521,"",_xlfn.TEXTJOIN(", ", TRUE, C522:INDEX(C:C, ROW(C522)+SheetTable02[[#This Row],[Column1]]-1)))</f>
        <v/>
      </c>
    </row>
    <row r="523" spans="1:8" ht="43.2">
      <c r="A523" s="1" t="s">
        <v>237</v>
      </c>
      <c r="B523" s="1" t="s">
        <v>239</v>
      </c>
      <c r="C523" s="1" t="s">
        <v>461</v>
      </c>
      <c r="D523" s="1"/>
      <c r="E523" s="1"/>
      <c r="F523" s="1"/>
      <c r="G523" s="7">
        <f>COUNTIF(SheetTable02[Focal Document
Element],A523)</f>
        <v>14</v>
      </c>
      <c r="H523" s="7" t="str">
        <f>IF(A523=A522,"",_xlfn.TEXTJOIN(", ", TRUE, C523:INDEX(C:C, ROW(C523)+SheetTable02[[#This Row],[Column1]]-1)))</f>
        <v/>
      </c>
    </row>
    <row r="524" spans="1:8" ht="43.2">
      <c r="A524" s="1" t="s">
        <v>237</v>
      </c>
      <c r="B524" s="1" t="s">
        <v>239</v>
      </c>
      <c r="C524" s="1" t="s">
        <v>466</v>
      </c>
      <c r="D524" s="1"/>
      <c r="E524" s="1"/>
      <c r="F524" s="1"/>
      <c r="G524" s="7">
        <f>COUNTIF(SheetTable02[Focal Document
Element],A524)</f>
        <v>14</v>
      </c>
      <c r="H524" s="7" t="str">
        <f>IF(A524=A523,"",_xlfn.TEXTJOIN(", ", TRUE, C524:INDEX(C:C, ROW(C524)+SheetTable02[[#This Row],[Column1]]-1)))</f>
        <v/>
      </c>
    </row>
    <row r="525" spans="1:8" ht="43.2">
      <c r="A525" s="1" t="s">
        <v>241</v>
      </c>
      <c r="B525" s="1" t="s">
        <v>243</v>
      </c>
      <c r="C525" s="1" t="s">
        <v>557</v>
      </c>
      <c r="D525" s="1"/>
      <c r="E525" s="1"/>
      <c r="F525" s="1"/>
      <c r="G525" s="7">
        <f>COUNTIF(SheetTable02[Focal Document
Element],A525)</f>
        <v>14</v>
      </c>
      <c r="H525" s="7" t="str">
        <f>IF(A525=A524,"",_xlfn.TEXTJOIN(", ", TRUE, C525:INDEX(C:C, ROW(C525)+SheetTable02[[#This Row],[Column1]]-1)))</f>
        <v>AU-16, CA-03, SC-04, SC-07, SC-08, SC-11, SC-12, SC-13, SC-16, SC-40, SC-43, SI-03, SI-04, SI-07</v>
      </c>
    </row>
    <row r="526" spans="1:8" ht="43.2">
      <c r="A526" s="1" t="s">
        <v>241</v>
      </c>
      <c r="B526" s="1" t="s">
        <v>243</v>
      </c>
      <c r="C526" s="1" t="s">
        <v>552</v>
      </c>
      <c r="D526" s="1"/>
      <c r="E526" s="1"/>
      <c r="F526" s="1"/>
      <c r="G526" s="7">
        <f>COUNTIF(SheetTable02[Focal Document
Element],A526)</f>
        <v>14</v>
      </c>
      <c r="H526" s="7" t="str">
        <f>IF(A526=A525,"",_xlfn.TEXTJOIN(", ", TRUE, C526:INDEX(C:C, ROW(C526)+SheetTable02[[#This Row],[Column1]]-1)))</f>
        <v/>
      </c>
    </row>
    <row r="527" spans="1:8" ht="43.2">
      <c r="A527" s="1" t="s">
        <v>241</v>
      </c>
      <c r="B527" s="1" t="s">
        <v>243</v>
      </c>
      <c r="C527" s="1" t="s">
        <v>511</v>
      </c>
      <c r="D527" s="1"/>
      <c r="E527" s="1"/>
      <c r="F527" s="1"/>
      <c r="G527" s="7">
        <f>COUNTIF(SheetTable02[Focal Document
Element],A527)</f>
        <v>14</v>
      </c>
      <c r="H527" s="7" t="str">
        <f>IF(A527=A526,"",_xlfn.TEXTJOIN(", ", TRUE, C527:INDEX(C:C, ROW(C527)+SheetTable02[[#This Row],[Column1]]-1)))</f>
        <v/>
      </c>
    </row>
    <row r="528" spans="1:8" ht="43.2">
      <c r="A528" s="1" t="s">
        <v>241</v>
      </c>
      <c r="B528" s="1" t="s">
        <v>243</v>
      </c>
      <c r="C528" s="1" t="s">
        <v>484</v>
      </c>
      <c r="D528" s="1"/>
      <c r="E528" s="1"/>
      <c r="F528" s="1"/>
      <c r="G528" s="7">
        <f>COUNTIF(SheetTable02[Focal Document
Element],A528)</f>
        <v>14</v>
      </c>
      <c r="H528" s="7" t="str">
        <f>IF(A528=A527,"",_xlfn.TEXTJOIN(", ", TRUE, C528:INDEX(C:C, ROW(C528)+SheetTable02[[#This Row],[Column1]]-1)))</f>
        <v/>
      </c>
    </row>
    <row r="529" spans="1:8" ht="43.2">
      <c r="A529" s="1" t="s">
        <v>241</v>
      </c>
      <c r="B529" s="1" t="s">
        <v>243</v>
      </c>
      <c r="C529" s="1" t="s">
        <v>556</v>
      </c>
      <c r="D529" s="1"/>
      <c r="E529" s="1"/>
      <c r="F529" s="1"/>
      <c r="G529" s="7">
        <f>COUNTIF(SheetTable02[Focal Document
Element],A529)</f>
        <v>14</v>
      </c>
      <c r="H529" s="7" t="str">
        <f>IF(A529=A528,"",_xlfn.TEXTJOIN(", ", TRUE, C529:INDEX(C:C, ROW(C529)+SheetTable02[[#This Row],[Column1]]-1)))</f>
        <v/>
      </c>
    </row>
    <row r="530" spans="1:8" ht="43.2">
      <c r="A530" s="1" t="s">
        <v>241</v>
      </c>
      <c r="B530" s="1" t="s">
        <v>243</v>
      </c>
      <c r="C530" s="1" t="s">
        <v>551</v>
      </c>
      <c r="D530" s="1"/>
      <c r="E530" s="1"/>
      <c r="F530" s="1"/>
      <c r="G530" s="7">
        <f>COUNTIF(SheetTable02[Focal Document
Element],A530)</f>
        <v>14</v>
      </c>
      <c r="H530" s="7" t="str">
        <f>IF(A530=A529,"",_xlfn.TEXTJOIN(", ", TRUE, C530:INDEX(C:C, ROW(C530)+SheetTable02[[#This Row],[Column1]]-1)))</f>
        <v/>
      </c>
    </row>
    <row r="531" spans="1:8" ht="43.2">
      <c r="A531" s="1" t="s">
        <v>241</v>
      </c>
      <c r="B531" s="1" t="s">
        <v>243</v>
      </c>
      <c r="C531" s="1" t="s">
        <v>555</v>
      </c>
      <c r="D531" s="1"/>
      <c r="E531" s="1"/>
      <c r="F531" s="1"/>
      <c r="G531" s="7">
        <f>COUNTIF(SheetTable02[Focal Document
Element],A531)</f>
        <v>14</v>
      </c>
      <c r="H531" s="7" t="str">
        <f>IF(A531=A530,"",_xlfn.TEXTJOIN(", ", TRUE, C531:INDEX(C:C, ROW(C531)+SheetTable02[[#This Row],[Column1]]-1)))</f>
        <v/>
      </c>
    </row>
    <row r="532" spans="1:8" ht="43.2">
      <c r="A532" s="1" t="s">
        <v>241</v>
      </c>
      <c r="B532" s="1" t="s">
        <v>243</v>
      </c>
      <c r="C532" s="1" t="s">
        <v>550</v>
      </c>
      <c r="D532" s="1"/>
      <c r="E532" s="1"/>
      <c r="F532" s="1"/>
      <c r="G532" s="7">
        <f>COUNTIF(SheetTable02[Focal Document
Element],A532)</f>
        <v>14</v>
      </c>
      <c r="H532" s="7" t="str">
        <f>IF(A532=A531,"",_xlfn.TEXTJOIN(", ", TRUE, C532:INDEX(C:C, ROW(C532)+SheetTable02[[#This Row],[Column1]]-1)))</f>
        <v/>
      </c>
    </row>
    <row r="533" spans="1:8" ht="43.2">
      <c r="A533" s="1" t="s">
        <v>241</v>
      </c>
      <c r="B533" s="1" t="s">
        <v>243</v>
      </c>
      <c r="C533" s="1" t="s">
        <v>554</v>
      </c>
      <c r="D533" s="1"/>
      <c r="E533" s="1"/>
      <c r="F533" s="1"/>
      <c r="G533" s="7">
        <f>COUNTIF(SheetTable02[Focal Document
Element],A533)</f>
        <v>14</v>
      </c>
      <c r="H533" s="7" t="str">
        <f>IF(A533=A532,"",_xlfn.TEXTJOIN(", ", TRUE, C533:INDEX(C:C, ROW(C533)+SheetTable02[[#This Row],[Column1]]-1)))</f>
        <v/>
      </c>
    </row>
    <row r="534" spans="1:8" ht="43.2">
      <c r="A534" s="1" t="s">
        <v>241</v>
      </c>
      <c r="B534" s="1" t="s">
        <v>243</v>
      </c>
      <c r="C534" s="1" t="s">
        <v>548</v>
      </c>
      <c r="D534" s="1"/>
      <c r="E534" s="1"/>
      <c r="F534" s="1"/>
      <c r="G534" s="7">
        <f>COUNTIF(SheetTable02[Focal Document
Element],A534)</f>
        <v>14</v>
      </c>
      <c r="H534" s="7" t="str">
        <f>IF(A534=A533,"",_xlfn.TEXTJOIN(", ", TRUE, C534:INDEX(C:C, ROW(C534)+SheetTable02[[#This Row],[Column1]]-1)))</f>
        <v/>
      </c>
    </row>
    <row r="535" spans="1:8" ht="43.2">
      <c r="A535" s="1" t="s">
        <v>241</v>
      </c>
      <c r="B535" s="1" t="s">
        <v>243</v>
      </c>
      <c r="C535" s="1" t="s">
        <v>547</v>
      </c>
      <c r="D535" s="1"/>
      <c r="E535" s="1"/>
      <c r="F535" s="1"/>
      <c r="G535" s="7">
        <f>COUNTIF(SheetTable02[Focal Document
Element],A535)</f>
        <v>14</v>
      </c>
      <c r="H535" s="7" t="str">
        <f>IF(A535=A534,"",_xlfn.TEXTJOIN(", ", TRUE, C535:INDEX(C:C, ROW(C535)+SheetTable02[[#This Row],[Column1]]-1)))</f>
        <v/>
      </c>
    </row>
    <row r="536" spans="1:8" ht="43.2">
      <c r="A536" s="1" t="s">
        <v>241</v>
      </c>
      <c r="B536" s="1" t="s">
        <v>243</v>
      </c>
      <c r="C536" s="1" t="s">
        <v>546</v>
      </c>
      <c r="D536" s="1"/>
      <c r="E536" s="1"/>
      <c r="F536" s="1"/>
      <c r="G536" s="7">
        <f>COUNTIF(SheetTable02[Focal Document
Element],A536)</f>
        <v>14</v>
      </c>
      <c r="H536" s="7" t="str">
        <f>IF(A536=A535,"",_xlfn.TEXTJOIN(", ", TRUE, C536:INDEX(C:C, ROW(C536)+SheetTable02[[#This Row],[Column1]]-1)))</f>
        <v/>
      </c>
    </row>
    <row r="537" spans="1:8" ht="43.2">
      <c r="A537" s="1" t="s">
        <v>241</v>
      </c>
      <c r="B537" s="1" t="s">
        <v>243</v>
      </c>
      <c r="C537" s="1" t="s">
        <v>461</v>
      </c>
      <c r="D537" s="1"/>
      <c r="E537" s="1"/>
      <c r="F537" s="1"/>
      <c r="G537" s="7">
        <f>COUNTIF(SheetTable02[Focal Document
Element],A537)</f>
        <v>14</v>
      </c>
      <c r="H537" s="7" t="str">
        <f>IF(A537=A536,"",_xlfn.TEXTJOIN(", ", TRUE, C537:INDEX(C:C, ROW(C537)+SheetTable02[[#This Row],[Column1]]-1)))</f>
        <v/>
      </c>
    </row>
    <row r="538" spans="1:8" ht="43.2">
      <c r="A538" s="1" t="s">
        <v>241</v>
      </c>
      <c r="B538" s="1" t="s">
        <v>243</v>
      </c>
      <c r="C538" s="1" t="s">
        <v>466</v>
      </c>
      <c r="D538" s="1"/>
      <c r="E538" s="1"/>
      <c r="F538" s="1"/>
      <c r="G538" s="7">
        <f>COUNTIF(SheetTable02[Focal Document
Element],A538)</f>
        <v>14</v>
      </c>
      <c r="H538" s="7" t="str">
        <f>IF(A538=A537,"",_xlfn.TEXTJOIN(", ", TRUE, C538:INDEX(C:C, ROW(C538)+SheetTable02[[#This Row],[Column1]]-1)))</f>
        <v/>
      </c>
    </row>
    <row r="539" spans="1:8" ht="28.8">
      <c r="A539" s="1" t="s">
        <v>245</v>
      </c>
      <c r="B539" s="1" t="s">
        <v>247</v>
      </c>
      <c r="C539" s="1" t="s">
        <v>480</v>
      </c>
      <c r="D539" s="1"/>
      <c r="E539" s="1"/>
      <c r="F539" s="1"/>
      <c r="G539" s="7">
        <f>COUNTIF(SheetTable02[Focal Document
Element],A539)</f>
        <v>22</v>
      </c>
      <c r="H539" s="7" t="str">
        <f>IF(A539=A538,"",_xlfn.TEXTJOIN(", ", TRUE, C539:INDEX(C:C, ROW(C539)+SheetTable02[[#This Row],[Column1]]-1)))</f>
        <v>AC-02, AC-03, AC-04, AU-09, AU-13, CA-03, CP-09, SA-08, SC-04, SC-07, SC-11, SC-13, SC-24, SC-32, SC-39, SC-40, SC-43, SI-03, SI-04, SI-07, SI-10, SI-16</v>
      </c>
    </row>
    <row r="540" spans="1:8" ht="28.8">
      <c r="A540" s="1" t="s">
        <v>245</v>
      </c>
      <c r="B540" s="1" t="s">
        <v>247</v>
      </c>
      <c r="C540" s="1" t="s">
        <v>512</v>
      </c>
      <c r="D540" s="1"/>
      <c r="E540" s="1"/>
      <c r="F540" s="1"/>
      <c r="G540" s="7">
        <f>COUNTIF(SheetTable02[Focal Document
Element],A540)</f>
        <v>22</v>
      </c>
      <c r="H540" s="7" t="str">
        <f>IF(A540=A539,"",_xlfn.TEXTJOIN(", ", TRUE, C540:INDEX(C:C, ROW(C540)+SheetTable02[[#This Row],[Column1]]-1)))</f>
        <v/>
      </c>
    </row>
    <row r="541" spans="1:8" ht="28.8">
      <c r="A541" s="1" t="s">
        <v>245</v>
      </c>
      <c r="B541" s="1" t="s">
        <v>247</v>
      </c>
      <c r="C541" s="1" t="s">
        <v>475</v>
      </c>
      <c r="D541" s="1"/>
      <c r="E541" s="1"/>
      <c r="F541" s="1"/>
      <c r="G541" s="7">
        <f>COUNTIF(SheetTable02[Focal Document
Element],A541)</f>
        <v>22</v>
      </c>
      <c r="H541" s="7" t="str">
        <f>IF(A541=A540,"",_xlfn.TEXTJOIN(", ", TRUE, C541:INDEX(C:C, ROW(C541)+SheetTable02[[#This Row],[Column1]]-1)))</f>
        <v/>
      </c>
    </row>
    <row r="542" spans="1:8" ht="28.8">
      <c r="A542" s="1" t="s">
        <v>245</v>
      </c>
      <c r="B542" s="1" t="s">
        <v>247</v>
      </c>
      <c r="C542" s="1" t="s">
        <v>553</v>
      </c>
      <c r="D542" s="1"/>
      <c r="E542" s="1"/>
      <c r="F542" s="1"/>
      <c r="G542" s="7">
        <f>COUNTIF(SheetTable02[Focal Document
Element],A542)</f>
        <v>22</v>
      </c>
      <c r="H542" s="7" t="str">
        <f>IF(A542=A541,"",_xlfn.TEXTJOIN(", ", TRUE, C542:INDEX(C:C, ROW(C542)+SheetTable02[[#This Row],[Column1]]-1)))</f>
        <v/>
      </c>
    </row>
    <row r="543" spans="1:8" ht="28.8">
      <c r="A543" s="1" t="s">
        <v>245</v>
      </c>
      <c r="B543" s="1" t="s">
        <v>247</v>
      </c>
      <c r="C543" s="1" t="s">
        <v>479</v>
      </c>
      <c r="D543" s="1"/>
      <c r="E543" s="1"/>
      <c r="F543" s="1"/>
      <c r="G543" s="7">
        <f>COUNTIF(SheetTable02[Focal Document
Element],A543)</f>
        <v>22</v>
      </c>
      <c r="H543" s="7" t="str">
        <f>IF(A543=A542,"",_xlfn.TEXTJOIN(", ", TRUE, C543:INDEX(C:C, ROW(C543)+SheetTable02[[#This Row],[Column1]]-1)))</f>
        <v/>
      </c>
    </row>
    <row r="544" spans="1:8" ht="28.8">
      <c r="A544" s="1" t="s">
        <v>245</v>
      </c>
      <c r="B544" s="1" t="s">
        <v>247</v>
      </c>
      <c r="C544" s="1" t="s">
        <v>552</v>
      </c>
      <c r="D544" s="1"/>
      <c r="E544" s="1"/>
      <c r="F544" s="1"/>
      <c r="G544" s="7">
        <f>COUNTIF(SheetTable02[Focal Document
Element],A544)</f>
        <v>22</v>
      </c>
      <c r="H544" s="7" t="str">
        <f>IF(A544=A543,"",_xlfn.TEXTJOIN(", ", TRUE, C544:INDEX(C:C, ROW(C544)+SheetTable02[[#This Row],[Column1]]-1)))</f>
        <v/>
      </c>
    </row>
    <row r="545" spans="1:8" ht="28.8">
      <c r="A545" s="1" t="s">
        <v>245</v>
      </c>
      <c r="B545" s="1" t="s">
        <v>247</v>
      </c>
      <c r="C545" s="1" t="s">
        <v>428</v>
      </c>
      <c r="D545" s="1"/>
      <c r="E545" s="1"/>
      <c r="F545" s="1"/>
      <c r="G545" s="7">
        <f>COUNTIF(SheetTable02[Focal Document
Element],A545)</f>
        <v>22</v>
      </c>
      <c r="H545" s="7" t="str">
        <f>IF(A545=A544,"",_xlfn.TEXTJOIN(", ", TRUE, C545:INDEX(C:C, ROW(C545)+SheetTable02[[#This Row],[Column1]]-1)))</f>
        <v/>
      </c>
    </row>
    <row r="546" spans="1:8" ht="28.8">
      <c r="A546" s="1" t="s">
        <v>245</v>
      </c>
      <c r="B546" s="1" t="s">
        <v>247</v>
      </c>
      <c r="C546" s="1" t="s">
        <v>499</v>
      </c>
      <c r="D546" s="1"/>
      <c r="E546" s="1"/>
      <c r="F546" s="1"/>
      <c r="G546" s="7">
        <f>COUNTIF(SheetTable02[Focal Document
Element],A546)</f>
        <v>22</v>
      </c>
      <c r="H546" s="7" t="str">
        <f>IF(A546=A545,"",_xlfn.TEXTJOIN(", ", TRUE, C546:INDEX(C:C, ROW(C546)+SheetTable02[[#This Row],[Column1]]-1)))</f>
        <v/>
      </c>
    </row>
    <row r="547" spans="1:8" ht="28.8">
      <c r="A547" s="1" t="s">
        <v>245</v>
      </c>
      <c r="B547" s="1" t="s">
        <v>247</v>
      </c>
      <c r="C547" s="1" t="s">
        <v>511</v>
      </c>
      <c r="D547" s="1"/>
      <c r="E547" s="1"/>
      <c r="F547" s="1"/>
      <c r="G547" s="7">
        <f>COUNTIF(SheetTable02[Focal Document
Element],A547)</f>
        <v>22</v>
      </c>
      <c r="H547" s="7" t="str">
        <f>IF(A547=A546,"",_xlfn.TEXTJOIN(", ", TRUE, C547:INDEX(C:C, ROW(C547)+SheetTable02[[#This Row],[Column1]]-1)))</f>
        <v/>
      </c>
    </row>
    <row r="548" spans="1:8" ht="28.8">
      <c r="A548" s="1" t="s">
        <v>245</v>
      </c>
      <c r="B548" s="1" t="s">
        <v>247</v>
      </c>
      <c r="C548" s="1" t="s">
        <v>484</v>
      </c>
      <c r="D548" s="1"/>
      <c r="E548" s="1"/>
      <c r="F548" s="1"/>
      <c r="G548" s="7">
        <f>COUNTIF(SheetTable02[Focal Document
Element],A548)</f>
        <v>22</v>
      </c>
      <c r="H548" s="7" t="str">
        <f>IF(A548=A547,"",_xlfn.TEXTJOIN(", ", TRUE, C548:INDEX(C:C, ROW(C548)+SheetTable02[[#This Row],[Column1]]-1)))</f>
        <v/>
      </c>
    </row>
    <row r="549" spans="1:8" ht="28.8">
      <c r="A549" s="1" t="s">
        <v>245</v>
      </c>
      <c r="B549" s="1" t="s">
        <v>247</v>
      </c>
      <c r="C549" s="1" t="s">
        <v>551</v>
      </c>
      <c r="D549" s="1"/>
      <c r="E549" s="1"/>
      <c r="F549" s="1"/>
      <c r="G549" s="7">
        <f>COUNTIF(SheetTable02[Focal Document
Element],A549)</f>
        <v>22</v>
      </c>
      <c r="H549" s="7" t="str">
        <f>IF(A549=A548,"",_xlfn.TEXTJOIN(", ", TRUE, C549:INDEX(C:C, ROW(C549)+SheetTable02[[#This Row],[Column1]]-1)))</f>
        <v/>
      </c>
    </row>
    <row r="550" spans="1:8" ht="28.8">
      <c r="A550" s="1" t="s">
        <v>245</v>
      </c>
      <c r="B550" s="1" t="s">
        <v>247</v>
      </c>
      <c r="C550" s="1" t="s">
        <v>550</v>
      </c>
      <c r="D550" s="1"/>
      <c r="E550" s="1"/>
      <c r="F550" s="1"/>
      <c r="G550" s="7">
        <f>COUNTIF(SheetTable02[Focal Document
Element],A550)</f>
        <v>22</v>
      </c>
      <c r="H550" s="7" t="str">
        <f>IF(A550=A549,"",_xlfn.TEXTJOIN(", ", TRUE, C550:INDEX(C:C, ROW(C550)+SheetTable02[[#This Row],[Column1]]-1)))</f>
        <v/>
      </c>
    </row>
    <row r="551" spans="1:8" ht="28.8">
      <c r="A551" s="1" t="s">
        <v>245</v>
      </c>
      <c r="B551" s="1" t="s">
        <v>247</v>
      </c>
      <c r="C551" s="1" t="s">
        <v>497</v>
      </c>
      <c r="D551" s="1"/>
      <c r="E551" s="1"/>
      <c r="F551" s="1"/>
      <c r="G551" s="7">
        <f>COUNTIF(SheetTable02[Focal Document
Element],A551)</f>
        <v>22</v>
      </c>
      <c r="H551" s="7" t="str">
        <f>IF(A551=A550,"",_xlfn.TEXTJOIN(", ", TRUE, C551:INDEX(C:C, ROW(C551)+SheetTable02[[#This Row],[Column1]]-1)))</f>
        <v/>
      </c>
    </row>
    <row r="552" spans="1:8" ht="28.8">
      <c r="A552" s="1" t="s">
        <v>245</v>
      </c>
      <c r="B552" s="1" t="s">
        <v>247</v>
      </c>
      <c r="C552" s="1" t="s">
        <v>549</v>
      </c>
      <c r="D552" s="1"/>
      <c r="E552" s="1"/>
      <c r="F552" s="1"/>
      <c r="G552" s="7">
        <f>COUNTIF(SheetTable02[Focal Document
Element],A552)</f>
        <v>22</v>
      </c>
      <c r="H552" s="7" t="str">
        <f>IF(A552=A551,"",_xlfn.TEXTJOIN(", ", TRUE, C552:INDEX(C:C, ROW(C552)+SheetTable02[[#This Row],[Column1]]-1)))</f>
        <v/>
      </c>
    </row>
    <row r="553" spans="1:8" ht="28.8">
      <c r="A553" s="1" t="s">
        <v>245</v>
      </c>
      <c r="B553" s="1" t="s">
        <v>247</v>
      </c>
      <c r="C553" s="1" t="s">
        <v>495</v>
      </c>
      <c r="D553" s="1"/>
      <c r="E553" s="1"/>
      <c r="F553" s="1"/>
      <c r="G553" s="7">
        <f>COUNTIF(SheetTable02[Focal Document
Element],A553)</f>
        <v>22</v>
      </c>
      <c r="H553" s="7" t="str">
        <f>IF(A553=A552,"",_xlfn.TEXTJOIN(", ", TRUE, C553:INDEX(C:C, ROW(C553)+SheetTable02[[#This Row],[Column1]]-1)))</f>
        <v/>
      </c>
    </row>
    <row r="554" spans="1:8" ht="28.8">
      <c r="A554" s="1" t="s">
        <v>245</v>
      </c>
      <c r="B554" s="1" t="s">
        <v>247</v>
      </c>
      <c r="C554" s="1" t="s">
        <v>548</v>
      </c>
      <c r="D554" s="1"/>
      <c r="E554" s="1"/>
      <c r="F554" s="1"/>
      <c r="G554" s="7">
        <f>COUNTIF(SheetTable02[Focal Document
Element],A554)</f>
        <v>22</v>
      </c>
      <c r="H554" s="7" t="str">
        <f>IF(A554=A553,"",_xlfn.TEXTJOIN(", ", TRUE, C554:INDEX(C:C, ROW(C554)+SheetTable02[[#This Row],[Column1]]-1)))</f>
        <v/>
      </c>
    </row>
    <row r="555" spans="1:8" ht="28.8">
      <c r="A555" s="1" t="s">
        <v>245</v>
      </c>
      <c r="B555" s="1" t="s">
        <v>247</v>
      </c>
      <c r="C555" s="1" t="s">
        <v>547</v>
      </c>
      <c r="D555" s="1"/>
      <c r="E555" s="1"/>
      <c r="F555" s="1"/>
      <c r="G555" s="7">
        <f>COUNTIF(SheetTable02[Focal Document
Element],A555)</f>
        <v>22</v>
      </c>
      <c r="H555" s="7" t="str">
        <f>IF(A555=A554,"",_xlfn.TEXTJOIN(", ", TRUE, C555:INDEX(C:C, ROW(C555)+SheetTable02[[#This Row],[Column1]]-1)))</f>
        <v/>
      </c>
    </row>
    <row r="556" spans="1:8" ht="28.8">
      <c r="A556" s="1" t="s">
        <v>245</v>
      </c>
      <c r="B556" s="1" t="s">
        <v>247</v>
      </c>
      <c r="C556" s="1" t="s">
        <v>546</v>
      </c>
      <c r="D556" s="1"/>
      <c r="E556" s="1"/>
      <c r="F556" s="1"/>
      <c r="G556" s="7">
        <f>COUNTIF(SheetTable02[Focal Document
Element],A556)</f>
        <v>22</v>
      </c>
      <c r="H556" s="7" t="str">
        <f>IF(A556=A555,"",_xlfn.TEXTJOIN(", ", TRUE, C556:INDEX(C:C, ROW(C556)+SheetTable02[[#This Row],[Column1]]-1)))</f>
        <v/>
      </c>
    </row>
    <row r="557" spans="1:8" ht="28.8">
      <c r="A557" s="1" t="s">
        <v>245</v>
      </c>
      <c r="B557" s="1" t="s">
        <v>247</v>
      </c>
      <c r="C557" s="1" t="s">
        <v>461</v>
      </c>
      <c r="D557" s="1"/>
      <c r="E557" s="1"/>
      <c r="F557" s="1"/>
      <c r="G557" s="7">
        <f>COUNTIF(SheetTable02[Focal Document
Element],A557)</f>
        <v>22</v>
      </c>
      <c r="H557" s="7" t="str">
        <f>IF(A557=A556,"",_xlfn.TEXTJOIN(", ", TRUE, C557:INDEX(C:C, ROW(C557)+SheetTable02[[#This Row],[Column1]]-1)))</f>
        <v/>
      </c>
    </row>
    <row r="558" spans="1:8" ht="28.8">
      <c r="A558" s="1" t="s">
        <v>245</v>
      </c>
      <c r="B558" s="1" t="s">
        <v>247</v>
      </c>
      <c r="C558" s="1" t="s">
        <v>466</v>
      </c>
      <c r="D558" s="1"/>
      <c r="E558" s="1"/>
      <c r="F558" s="1"/>
      <c r="G558" s="7">
        <f>COUNTIF(SheetTable02[Focal Document
Element],A558)</f>
        <v>22</v>
      </c>
      <c r="H558" s="7" t="str">
        <f>IF(A558=A557,"",_xlfn.TEXTJOIN(", ", TRUE, C558:INDEX(C:C, ROW(C558)+SheetTable02[[#This Row],[Column1]]-1)))</f>
        <v/>
      </c>
    </row>
    <row r="559" spans="1:8" ht="28.8">
      <c r="A559" s="1" t="s">
        <v>245</v>
      </c>
      <c r="B559" s="1" t="s">
        <v>247</v>
      </c>
      <c r="C559" s="1" t="s">
        <v>545</v>
      </c>
      <c r="D559" s="1"/>
      <c r="E559" s="1"/>
      <c r="F559" s="1"/>
      <c r="G559" s="7">
        <f>COUNTIF(SheetTable02[Focal Document
Element],A559)</f>
        <v>22</v>
      </c>
      <c r="H559" s="7" t="str">
        <f>IF(A559=A558,"",_xlfn.TEXTJOIN(", ", TRUE, C559:INDEX(C:C, ROW(C559)+SheetTable02[[#This Row],[Column1]]-1)))</f>
        <v/>
      </c>
    </row>
    <row r="560" spans="1:8" ht="28.8">
      <c r="A560" s="1" t="s">
        <v>245</v>
      </c>
      <c r="B560" s="1" t="s">
        <v>247</v>
      </c>
      <c r="C560" s="1" t="s">
        <v>544</v>
      </c>
      <c r="D560" s="1"/>
      <c r="E560" s="1"/>
      <c r="F560" s="1"/>
      <c r="G560" s="7">
        <f>COUNTIF(SheetTable02[Focal Document
Element],A560)</f>
        <v>22</v>
      </c>
      <c r="H560" s="7" t="str">
        <f>IF(A560=A559,"",_xlfn.TEXTJOIN(", ", TRUE, C560:INDEX(C:C, ROW(C560)+SheetTable02[[#This Row],[Column1]]-1)))</f>
        <v/>
      </c>
    </row>
    <row r="561" spans="1:8" ht="28.8">
      <c r="A561" s="1" t="s">
        <v>249</v>
      </c>
      <c r="B561" s="1" t="s">
        <v>251</v>
      </c>
      <c r="C561" s="1" t="s">
        <v>493</v>
      </c>
      <c r="D561" s="1"/>
      <c r="E561" s="1"/>
      <c r="F561" s="1"/>
      <c r="G561" s="7">
        <f>COUNTIF(SheetTable02[Focal Document
Element],A561)</f>
        <v>2</v>
      </c>
      <c r="H561" s="7" t="str">
        <f>IF(A561=A560,"",_xlfn.TEXTJOIN(", ", TRUE, C561:INDEX(C:C, ROW(C561)+SheetTable02[[#This Row],[Column1]]-1)))</f>
        <v>CP-06
, CP-09</v>
      </c>
    </row>
    <row r="562" spans="1:8" ht="28.8">
      <c r="A562" s="1" t="s">
        <v>249</v>
      </c>
      <c r="B562" s="1" t="s">
        <v>251</v>
      </c>
      <c r="C562" s="1" t="s">
        <v>428</v>
      </c>
      <c r="D562" s="1"/>
      <c r="E562" s="1"/>
      <c r="F562" s="1"/>
      <c r="G562" s="7">
        <f>COUNTIF(SheetTable02[Focal Document
Element],A562)</f>
        <v>2</v>
      </c>
      <c r="H562" s="7" t="str">
        <f>IF(A562=A561,"",_xlfn.TEXTJOIN(", ", TRUE, C562:INDEX(C:C, ROW(C562)+SheetTable02[[#This Row],[Column1]]-1)))</f>
        <v/>
      </c>
    </row>
    <row r="563" spans="1:8" ht="100.8">
      <c r="A563" s="1" t="s">
        <v>543</v>
      </c>
      <c r="B563" s="1" t="s">
        <v>542</v>
      </c>
      <c r="C563" s="1"/>
      <c r="D563" s="1"/>
      <c r="E563" s="1"/>
      <c r="F563" s="1"/>
      <c r="G563" s="7">
        <f>COUNTIF(SheetTable02[Focal Document
Element],A563)</f>
        <v>1</v>
      </c>
      <c r="H563" s="7" t="str">
        <f>IF(A563=A562,"",_xlfn.TEXTJOIN(", ", TRUE, C563:INDEX(C:C, ROW(C563)+SheetTable02[[#This Row],[Column1]]-1)))</f>
        <v/>
      </c>
    </row>
    <row r="564" spans="1:8" ht="28.8">
      <c r="A564" s="1" t="s">
        <v>253</v>
      </c>
      <c r="B564" s="1" t="s">
        <v>255</v>
      </c>
      <c r="C564" s="1" t="s">
        <v>541</v>
      </c>
      <c r="D564" s="1"/>
      <c r="E564" s="1"/>
      <c r="F564" s="1"/>
      <c r="G564" s="7">
        <f>COUNTIF(SheetTable02[Focal Document
Element],A564)</f>
        <v>11</v>
      </c>
      <c r="H564" s="7" t="str">
        <f>IF(A564=A563,"",_xlfn.TEXTJOIN(", ", TRUE, C564:INDEX(C:C, ROW(C564)+SheetTable02[[#This Row],[Column1]]-1)))</f>
        <v>CM-01, CM-02, CM-03, CM-04, CM-05, CM-06, CM-07, CM-08, CM-09, CM-10, CM-11</v>
      </c>
    </row>
    <row r="565" spans="1:8" ht="28.8">
      <c r="A565" s="1" t="s">
        <v>253</v>
      </c>
      <c r="B565" s="1" t="s">
        <v>255</v>
      </c>
      <c r="C565" s="1" t="s">
        <v>540</v>
      </c>
      <c r="D565" s="1"/>
      <c r="E565" s="1"/>
      <c r="F565" s="1"/>
      <c r="G565" s="7">
        <f>COUNTIF(SheetTable02[Focal Document
Element],A565)</f>
        <v>11</v>
      </c>
      <c r="H565" s="7" t="str">
        <f>IF(A565=A564,"",_xlfn.TEXTJOIN(", ", TRUE, C565:INDEX(C:C, ROW(C565)+SheetTable02[[#This Row],[Column1]]-1)))</f>
        <v/>
      </c>
    </row>
    <row r="566" spans="1:8" ht="28.8">
      <c r="A566" s="1" t="s">
        <v>253</v>
      </c>
      <c r="B566" s="1" t="s">
        <v>255</v>
      </c>
      <c r="C566" s="1" t="s">
        <v>472</v>
      </c>
      <c r="D566" s="1"/>
      <c r="E566" s="1"/>
      <c r="F566" s="1"/>
      <c r="G566" s="7">
        <f>COUNTIF(SheetTable02[Focal Document
Element],A566)</f>
        <v>11</v>
      </c>
      <c r="H566" s="7" t="str">
        <f>IF(A566=A565,"",_xlfn.TEXTJOIN(", ", TRUE, C566:INDEX(C:C, ROW(C566)+SheetTable02[[#This Row],[Column1]]-1)))</f>
        <v/>
      </c>
    </row>
    <row r="567" spans="1:8" ht="28.8">
      <c r="A567" s="1" t="s">
        <v>253</v>
      </c>
      <c r="B567" s="1" t="s">
        <v>255</v>
      </c>
      <c r="C567" s="1" t="s">
        <v>539</v>
      </c>
      <c r="D567" s="1"/>
      <c r="E567" s="1"/>
      <c r="F567" s="1"/>
      <c r="G567" s="7">
        <f>COUNTIF(SheetTable02[Focal Document
Element],A567)</f>
        <v>11</v>
      </c>
      <c r="H567" s="7" t="str">
        <f>IF(A567=A566,"",_xlfn.TEXTJOIN(", ", TRUE, C567:INDEX(C:C, ROW(C567)+SheetTable02[[#This Row],[Column1]]-1)))</f>
        <v/>
      </c>
    </row>
    <row r="568" spans="1:8" ht="28.8">
      <c r="A568" s="1" t="s">
        <v>253</v>
      </c>
      <c r="B568" s="1" t="s">
        <v>255</v>
      </c>
      <c r="C568" s="1" t="s">
        <v>538</v>
      </c>
      <c r="D568" s="1"/>
      <c r="E568" s="1"/>
      <c r="F568" s="1"/>
      <c r="G568" s="7">
        <f>COUNTIF(SheetTable02[Focal Document
Element],A568)</f>
        <v>11</v>
      </c>
      <c r="H568" s="7" t="str">
        <f>IF(A568=A567,"",_xlfn.TEXTJOIN(", ", TRUE, C568:INDEX(C:C, ROW(C568)+SheetTable02[[#This Row],[Column1]]-1)))</f>
        <v/>
      </c>
    </row>
    <row r="569" spans="1:8" ht="28.8">
      <c r="A569" s="1" t="s">
        <v>253</v>
      </c>
      <c r="B569" s="1" t="s">
        <v>255</v>
      </c>
      <c r="C569" s="1" t="s">
        <v>471</v>
      </c>
      <c r="D569" s="1"/>
      <c r="E569" s="1"/>
      <c r="F569" s="1"/>
      <c r="G569" s="7">
        <f>COUNTIF(SheetTable02[Focal Document
Element],A569)</f>
        <v>11</v>
      </c>
      <c r="H569" s="7" t="str">
        <f>IF(A569=A568,"",_xlfn.TEXTJOIN(", ", TRUE, C569:INDEX(C:C, ROW(C569)+SheetTable02[[#This Row],[Column1]]-1)))</f>
        <v/>
      </c>
    </row>
    <row r="570" spans="1:8" ht="28.8">
      <c r="A570" s="1" t="s">
        <v>253</v>
      </c>
      <c r="B570" s="1" t="s">
        <v>255</v>
      </c>
      <c r="C570" s="1" t="s">
        <v>537</v>
      </c>
      <c r="D570" s="1"/>
      <c r="E570" s="1"/>
      <c r="F570" s="1"/>
      <c r="G570" s="7">
        <f>COUNTIF(SheetTable02[Focal Document
Element],A570)</f>
        <v>11</v>
      </c>
      <c r="H570" s="7" t="str">
        <f>IF(A570=A569,"",_xlfn.TEXTJOIN(", ", TRUE, C570:INDEX(C:C, ROW(C570)+SheetTable02[[#This Row],[Column1]]-1)))</f>
        <v/>
      </c>
    </row>
    <row r="571" spans="1:8" ht="28.8">
      <c r="A571" s="1" t="s">
        <v>253</v>
      </c>
      <c r="B571" s="1" t="s">
        <v>255</v>
      </c>
      <c r="C571" s="1" t="s">
        <v>536</v>
      </c>
      <c r="D571" s="1"/>
      <c r="E571" s="1"/>
      <c r="F571" s="1"/>
      <c r="G571" s="7">
        <f>COUNTIF(SheetTable02[Focal Document
Element],A571)</f>
        <v>11</v>
      </c>
      <c r="H571" s="7" t="str">
        <f>IF(A571=A570,"",_xlfn.TEXTJOIN(", ", TRUE, C571:INDEX(C:C, ROW(C571)+SheetTable02[[#This Row],[Column1]]-1)))</f>
        <v/>
      </c>
    </row>
    <row r="572" spans="1:8" ht="28.8">
      <c r="A572" s="1" t="s">
        <v>253</v>
      </c>
      <c r="B572" s="1" t="s">
        <v>255</v>
      </c>
      <c r="C572" s="1" t="s">
        <v>535</v>
      </c>
      <c r="D572" s="1"/>
      <c r="E572" s="1"/>
      <c r="F572" s="1"/>
      <c r="G572" s="7">
        <f>COUNTIF(SheetTable02[Focal Document
Element],A572)</f>
        <v>11</v>
      </c>
      <c r="H572" s="7" t="str">
        <f>IF(A572=A571,"",_xlfn.TEXTJOIN(", ", TRUE, C572:INDEX(C:C, ROW(C572)+SheetTable02[[#This Row],[Column1]]-1)))</f>
        <v/>
      </c>
    </row>
    <row r="573" spans="1:8" ht="28.8">
      <c r="A573" s="1" t="s">
        <v>253</v>
      </c>
      <c r="B573" s="1" t="s">
        <v>255</v>
      </c>
      <c r="C573" s="1" t="s">
        <v>470</v>
      </c>
      <c r="D573" s="1"/>
      <c r="E573" s="1"/>
      <c r="F573" s="1"/>
      <c r="G573" s="7">
        <f>COUNTIF(SheetTable02[Focal Document
Element],A573)</f>
        <v>11</v>
      </c>
      <c r="H573" s="7" t="str">
        <f>IF(A573=A572,"",_xlfn.TEXTJOIN(", ", TRUE, C573:INDEX(C:C, ROW(C573)+SheetTable02[[#This Row],[Column1]]-1)))</f>
        <v/>
      </c>
    </row>
    <row r="574" spans="1:8" ht="28.8">
      <c r="A574" s="1" t="s">
        <v>253</v>
      </c>
      <c r="B574" s="1" t="s">
        <v>255</v>
      </c>
      <c r="C574" s="1" t="s">
        <v>469</v>
      </c>
      <c r="D574" s="1"/>
      <c r="E574" s="1"/>
      <c r="F574" s="1"/>
      <c r="G574" s="7">
        <f>COUNTIF(SheetTable02[Focal Document
Element],A574)</f>
        <v>11</v>
      </c>
      <c r="H574" s="7" t="str">
        <f>IF(A574=A573,"",_xlfn.TEXTJOIN(", ", TRUE, C574:INDEX(C:C, ROW(C574)+SheetTable02[[#This Row],[Column1]]-1)))</f>
        <v/>
      </c>
    </row>
    <row r="575" spans="1:8" ht="28.8">
      <c r="A575" s="1" t="s">
        <v>257</v>
      </c>
      <c r="B575" s="1" t="s">
        <v>259</v>
      </c>
      <c r="C575" s="1" t="s">
        <v>469</v>
      </c>
      <c r="D575" s="1"/>
      <c r="E575" s="1"/>
      <c r="F575" s="1"/>
      <c r="G575" s="7">
        <f>COUNTIF(SheetTable02[Focal Document
Element],A575)</f>
        <v>5</v>
      </c>
      <c r="H575" s="7" t="str">
        <f>IF(A575=A574,"",_xlfn.TEXTJOIN(", ", TRUE, C575:INDEX(C:C, ROW(C575)+SheetTable02[[#This Row],[Column1]]-1)))</f>
        <v>CM-11, MA-03(06), SA-10(01), SI-02, SI-07</v>
      </c>
    </row>
    <row r="576" spans="1:8" ht="28.8">
      <c r="A576" s="1" t="s">
        <v>257</v>
      </c>
      <c r="B576" s="1" t="s">
        <v>259</v>
      </c>
      <c r="C576" s="1" t="s">
        <v>534</v>
      </c>
      <c r="D576" s="1"/>
      <c r="E576" s="1"/>
      <c r="F576" s="1"/>
      <c r="G576" s="7">
        <f>COUNTIF(SheetTable02[Focal Document
Element],A576)</f>
        <v>5</v>
      </c>
      <c r="H576" s="7" t="str">
        <f>IF(A576=A575,"",_xlfn.TEXTJOIN(", ", TRUE, C576:INDEX(C:C, ROW(C576)+SheetTable02[[#This Row],[Column1]]-1)))</f>
        <v/>
      </c>
    </row>
    <row r="577" spans="1:8" ht="28.8">
      <c r="A577" s="1" t="s">
        <v>257</v>
      </c>
      <c r="B577" s="1" t="s">
        <v>259</v>
      </c>
      <c r="C577" s="1" t="s">
        <v>533</v>
      </c>
      <c r="D577" s="1"/>
      <c r="E577" s="1"/>
      <c r="F577" s="1"/>
      <c r="G577" s="7">
        <f>COUNTIF(SheetTable02[Focal Document
Element],A577)</f>
        <v>5</v>
      </c>
      <c r="H577" s="7" t="str">
        <f>IF(A577=A576,"",_xlfn.TEXTJOIN(", ", TRUE, C577:INDEX(C:C, ROW(C577)+SheetTable02[[#This Row],[Column1]]-1)))</f>
        <v/>
      </c>
    </row>
    <row r="578" spans="1:8" ht="28.8">
      <c r="A578" s="1" t="s">
        <v>257</v>
      </c>
      <c r="B578" s="1" t="s">
        <v>259</v>
      </c>
      <c r="C578" s="1" t="s">
        <v>532</v>
      </c>
      <c r="D578" s="1"/>
      <c r="E578" s="1"/>
      <c r="F578" s="1"/>
      <c r="G578" s="7">
        <f>COUNTIF(SheetTable02[Focal Document
Element],A578)</f>
        <v>5</v>
      </c>
      <c r="H578" s="7" t="str">
        <f>IF(A578=A577,"",_xlfn.TEXTJOIN(", ", TRUE, C578:INDEX(C:C, ROW(C578)+SheetTable02[[#This Row],[Column1]]-1)))</f>
        <v/>
      </c>
    </row>
    <row r="579" spans="1:8" ht="28.8">
      <c r="A579" s="1" t="s">
        <v>257</v>
      </c>
      <c r="B579" s="1" t="s">
        <v>259</v>
      </c>
      <c r="C579" s="1" t="s">
        <v>466</v>
      </c>
      <c r="D579" s="1"/>
      <c r="E579" s="1"/>
      <c r="F579" s="1"/>
      <c r="G579" s="7">
        <f>COUNTIF(SheetTable02[Focal Document
Element],A579)</f>
        <v>5</v>
      </c>
      <c r="H579" s="7" t="str">
        <f>IF(A579=A578,"",_xlfn.TEXTJOIN(", ", TRUE, C579:INDEX(C:C, ROW(C579)+SheetTable02[[#This Row],[Column1]]-1)))</f>
        <v/>
      </c>
    </row>
    <row r="580" spans="1:8" ht="28.8">
      <c r="A580" s="1" t="s">
        <v>261</v>
      </c>
      <c r="B580" s="1" t="s">
        <v>263</v>
      </c>
      <c r="C580" s="1" t="s">
        <v>531</v>
      </c>
      <c r="D580" s="1"/>
      <c r="E580" s="1"/>
      <c r="F580" s="1"/>
      <c r="G580" s="7">
        <f>COUNTIF(SheetTable02[Focal Document
Element],A580)</f>
        <v>6</v>
      </c>
      <c r="H580" s="7" t="str">
        <f>IF(A580=A579,"",_xlfn.TEXTJOIN(", ", TRUE, C580:INDEX(C:C, ROW(C580)+SheetTable02[[#This Row],[Column1]]-1)))</f>
        <v>CM-07(09), SA-10(03), SC-03(01), SC-39(01), SC-49, SC-51</v>
      </c>
    </row>
    <row r="581" spans="1:8" ht="28.8">
      <c r="A581" s="1" t="s">
        <v>261</v>
      </c>
      <c r="B581" s="1" t="s">
        <v>263</v>
      </c>
      <c r="C581" s="1" t="s">
        <v>530</v>
      </c>
      <c r="D581" s="1"/>
      <c r="E581" s="1"/>
      <c r="F581" s="1"/>
      <c r="G581" s="7">
        <f>COUNTIF(SheetTable02[Focal Document
Element],A581)</f>
        <v>6</v>
      </c>
      <c r="H581" s="7" t="str">
        <f>IF(A581=A580,"",_xlfn.TEXTJOIN(", ", TRUE, C581:INDEX(C:C, ROW(C581)+SheetTable02[[#This Row],[Column1]]-1)))</f>
        <v/>
      </c>
    </row>
    <row r="582" spans="1:8" ht="28.8">
      <c r="A582" s="1" t="s">
        <v>261</v>
      </c>
      <c r="B582" s="1" t="s">
        <v>263</v>
      </c>
      <c r="C582" s="1" t="s">
        <v>529</v>
      </c>
      <c r="D582" s="1"/>
      <c r="E582" s="1"/>
      <c r="F582" s="1"/>
      <c r="G582" s="7">
        <f>COUNTIF(SheetTable02[Focal Document
Element],A582)</f>
        <v>6</v>
      </c>
      <c r="H582" s="7" t="str">
        <f>IF(A582=A581,"",_xlfn.TEXTJOIN(", ", TRUE, C582:INDEX(C:C, ROW(C582)+SheetTable02[[#This Row],[Column1]]-1)))</f>
        <v/>
      </c>
    </row>
    <row r="583" spans="1:8" ht="28.8">
      <c r="A583" s="1" t="s">
        <v>261</v>
      </c>
      <c r="B583" s="1" t="s">
        <v>263</v>
      </c>
      <c r="C583" s="1" t="s">
        <v>528</v>
      </c>
      <c r="D583" s="1"/>
      <c r="E583" s="1"/>
      <c r="F583" s="1"/>
      <c r="G583" s="7">
        <f>COUNTIF(SheetTable02[Focal Document
Element],A583)</f>
        <v>6</v>
      </c>
      <c r="H583" s="7" t="str">
        <f>IF(A583=A582,"",_xlfn.TEXTJOIN(", ", TRUE, C583:INDEX(C:C, ROW(C583)+SheetTable02[[#This Row],[Column1]]-1)))</f>
        <v/>
      </c>
    </row>
    <row r="584" spans="1:8" ht="28.8">
      <c r="A584" s="1" t="s">
        <v>261</v>
      </c>
      <c r="B584" s="1" t="s">
        <v>263</v>
      </c>
      <c r="C584" s="1" t="s">
        <v>527</v>
      </c>
      <c r="D584" s="1"/>
      <c r="E584" s="1"/>
      <c r="F584" s="1"/>
      <c r="G584" s="7">
        <f>COUNTIF(SheetTable02[Focal Document
Element],A584)</f>
        <v>6</v>
      </c>
      <c r="H584" s="7" t="str">
        <f>IF(A584=A583,"",_xlfn.TEXTJOIN(", ", TRUE, C584:INDEX(C:C, ROW(C584)+SheetTable02[[#This Row],[Column1]]-1)))</f>
        <v/>
      </c>
    </row>
    <row r="585" spans="1:8" ht="28.8">
      <c r="A585" s="1" t="s">
        <v>261</v>
      </c>
      <c r="B585" s="1" t="s">
        <v>263</v>
      </c>
      <c r="C585" s="1" t="s">
        <v>526</v>
      </c>
      <c r="D585" s="1"/>
      <c r="E585" s="1"/>
      <c r="F585" s="1"/>
      <c r="G585" s="7">
        <f>COUNTIF(SheetTable02[Focal Document
Element],A585)</f>
        <v>6</v>
      </c>
      <c r="H585" s="7" t="str">
        <f>IF(A585=A584,"",_xlfn.TEXTJOIN(", ", TRUE, C585:INDEX(C:C, ROW(C585)+SheetTable02[[#This Row],[Column1]]-1)))</f>
        <v/>
      </c>
    </row>
    <row r="586" spans="1:8" ht="28.8">
      <c r="A586" s="1" t="s">
        <v>265</v>
      </c>
      <c r="B586" s="1" t="s">
        <v>267</v>
      </c>
      <c r="C586" s="1" t="s">
        <v>525</v>
      </c>
      <c r="D586" s="1"/>
      <c r="E586" s="1"/>
      <c r="F586" s="1"/>
      <c r="G586" s="7">
        <f>COUNTIF(SheetTable02[Focal Document
Element],A586)</f>
        <v>6</v>
      </c>
      <c r="H586" s="7" t="str">
        <f>IF(A586=A585,"",_xlfn.TEXTJOIN(", ", TRUE, C586:INDEX(C:C, ROW(C586)+SheetTable02[[#This Row],[Column1]]-1)))</f>
        <v>AU-02
, AU-03, AU-06, AU-07, AU-11, AU-12</v>
      </c>
    </row>
    <row r="587" spans="1:8" ht="28.8">
      <c r="A587" s="1" t="s">
        <v>265</v>
      </c>
      <c r="B587" s="1" t="s">
        <v>267</v>
      </c>
      <c r="C587" s="1" t="s">
        <v>524</v>
      </c>
      <c r="D587" s="1"/>
      <c r="E587" s="1"/>
      <c r="F587" s="1"/>
      <c r="G587" s="7">
        <f>COUNTIF(SheetTable02[Focal Document
Element],A587)</f>
        <v>6</v>
      </c>
      <c r="H587" s="7" t="str">
        <f>IF(A587=A586,"",_xlfn.TEXTJOIN(", ", TRUE, C587:INDEX(C:C, ROW(C587)+SheetTable02[[#This Row],[Column1]]-1)))</f>
        <v/>
      </c>
    </row>
    <row r="588" spans="1:8" ht="28.8">
      <c r="A588" s="1" t="s">
        <v>265</v>
      </c>
      <c r="B588" s="1" t="s">
        <v>267</v>
      </c>
      <c r="C588" s="1" t="s">
        <v>463</v>
      </c>
      <c r="D588" s="1"/>
      <c r="E588" s="1"/>
      <c r="F588" s="1"/>
      <c r="G588" s="7">
        <f>COUNTIF(SheetTable02[Focal Document
Element],A588)</f>
        <v>6</v>
      </c>
      <c r="H588" s="7" t="str">
        <f>IF(A588=A587,"",_xlfn.TEXTJOIN(", ", TRUE, C588:INDEX(C:C, ROW(C588)+SheetTable02[[#This Row],[Column1]]-1)))</f>
        <v/>
      </c>
    </row>
    <row r="589" spans="1:8" ht="28.8">
      <c r="A589" s="1" t="s">
        <v>265</v>
      </c>
      <c r="B589" s="1" t="s">
        <v>267</v>
      </c>
      <c r="C589" s="1" t="s">
        <v>443</v>
      </c>
      <c r="D589" s="1"/>
      <c r="E589" s="1"/>
      <c r="F589" s="1"/>
      <c r="G589" s="7">
        <f>COUNTIF(SheetTable02[Focal Document
Element],A589)</f>
        <v>6</v>
      </c>
      <c r="H589" s="7" t="str">
        <f>IF(A589=A588,"",_xlfn.TEXTJOIN(", ", TRUE, C589:INDEX(C:C, ROW(C589)+SheetTable02[[#This Row],[Column1]]-1)))</f>
        <v/>
      </c>
    </row>
    <row r="590" spans="1:8" ht="28.8">
      <c r="A590" s="1" t="s">
        <v>265</v>
      </c>
      <c r="B590" s="1" t="s">
        <v>267</v>
      </c>
      <c r="C590" s="1" t="s">
        <v>523</v>
      </c>
      <c r="D590" s="1"/>
      <c r="E590" s="1"/>
      <c r="F590" s="1"/>
      <c r="G590" s="7">
        <f>COUNTIF(SheetTable02[Focal Document
Element],A590)</f>
        <v>6</v>
      </c>
      <c r="H590" s="7" t="str">
        <f>IF(A590=A589,"",_xlfn.TEXTJOIN(", ", TRUE, C590:INDEX(C:C, ROW(C590)+SheetTable02[[#This Row],[Column1]]-1)))</f>
        <v/>
      </c>
    </row>
    <row r="591" spans="1:8" ht="28.8">
      <c r="A591" s="1" t="s">
        <v>265</v>
      </c>
      <c r="B591" s="1" t="s">
        <v>267</v>
      </c>
      <c r="C591" s="1" t="s">
        <v>473</v>
      </c>
      <c r="D591" s="1"/>
      <c r="E591" s="1"/>
      <c r="F591" s="1"/>
      <c r="G591" s="7">
        <f>COUNTIF(SheetTable02[Focal Document
Element],A591)</f>
        <v>6</v>
      </c>
      <c r="H591" s="7" t="str">
        <f>IF(A591=A590,"",_xlfn.TEXTJOIN(", ", TRUE, C591:INDEX(C:C, ROW(C591)+SheetTable02[[#This Row],[Column1]]-1)))</f>
        <v/>
      </c>
    </row>
    <row r="592" spans="1:8" ht="28.8">
      <c r="A592" s="1" t="s">
        <v>269</v>
      </c>
      <c r="B592" s="1" t="s">
        <v>270</v>
      </c>
      <c r="C592" s="1" t="s">
        <v>522</v>
      </c>
      <c r="D592" s="1"/>
      <c r="E592" s="1"/>
      <c r="F592" s="1"/>
      <c r="G592" s="7">
        <f>COUNTIF(SheetTable02[Focal Document
Element],A592)</f>
        <v>4</v>
      </c>
      <c r="H592" s="7" t="str">
        <f>IF(A592=A591,"",_xlfn.TEXTJOIN(", ", TRUE, C592:INDEX(C:C, ROW(C592)+SheetTable02[[#This Row],[Column1]]-1)))</f>
        <v>CM-07(02), CM-07(04), CM-07(05), SC-34</v>
      </c>
    </row>
    <row r="593" spans="1:8" ht="28.8">
      <c r="A593" s="1" t="s">
        <v>269</v>
      </c>
      <c r="B593" s="1" t="s">
        <v>270</v>
      </c>
      <c r="C593" s="1" t="s">
        <v>521</v>
      </c>
      <c r="D593" s="1"/>
      <c r="E593" s="1"/>
      <c r="F593" s="1"/>
      <c r="G593" s="7">
        <f>COUNTIF(SheetTable02[Focal Document
Element],A593)</f>
        <v>4</v>
      </c>
      <c r="H593" s="7" t="str">
        <f>IF(A593=A592,"",_xlfn.TEXTJOIN(", ", TRUE, C593:INDEX(C:C, ROW(C593)+SheetTable02[[#This Row],[Column1]]-1)))</f>
        <v/>
      </c>
    </row>
    <row r="594" spans="1:8" ht="28.8">
      <c r="A594" s="1" t="s">
        <v>269</v>
      </c>
      <c r="B594" s="1" t="s">
        <v>270</v>
      </c>
      <c r="C594" s="1" t="s">
        <v>520</v>
      </c>
      <c r="D594" s="1"/>
      <c r="E594" s="1"/>
      <c r="F594" s="1"/>
      <c r="G594" s="7">
        <f>COUNTIF(SheetTable02[Focal Document
Element],A594)</f>
        <v>4</v>
      </c>
      <c r="H594" s="7" t="str">
        <f>IF(A594=A593,"",_xlfn.TEXTJOIN(", ", TRUE, C594:INDEX(C:C, ROW(C594)+SheetTable02[[#This Row],[Column1]]-1)))</f>
        <v/>
      </c>
    </row>
    <row r="595" spans="1:8" ht="28.8">
      <c r="A595" s="1" t="s">
        <v>269</v>
      </c>
      <c r="B595" s="1" t="s">
        <v>270</v>
      </c>
      <c r="C595" s="1" t="s">
        <v>468</v>
      </c>
      <c r="D595" s="1"/>
      <c r="E595" s="1"/>
      <c r="F595" s="1"/>
      <c r="G595" s="7">
        <f>COUNTIF(SheetTable02[Focal Document
Element],A595)</f>
        <v>4</v>
      </c>
      <c r="H595" s="7" t="str">
        <f>IF(A595=A594,"",_xlfn.TEXTJOIN(", ", TRUE, C595:INDEX(C:C, ROW(C595)+SheetTable02[[#This Row],[Column1]]-1)))</f>
        <v/>
      </c>
    </row>
    <row r="596" spans="1:8" ht="57.6">
      <c r="A596" s="1" t="s">
        <v>272</v>
      </c>
      <c r="B596" s="1" t="s">
        <v>274</v>
      </c>
      <c r="C596" s="1" t="s">
        <v>519</v>
      </c>
      <c r="D596" s="1"/>
      <c r="E596" s="1"/>
      <c r="F596" s="1"/>
      <c r="G596" s="7">
        <f>COUNTIF(SheetTable02[Focal Document
Element],A596)</f>
        <v>6</v>
      </c>
      <c r="H596" s="7" t="str">
        <f>IF(A596=A595,"",_xlfn.TEXTJOIN(", ", TRUE, C596:INDEX(C:C, ROW(C596)+SheetTable02[[#This Row],[Column1]]-1)))</f>
        <v>SA-03, SA-08, SA-10, SA-11, SA-15, SA-17</v>
      </c>
    </row>
    <row r="597" spans="1:8" ht="57.6">
      <c r="A597" s="1" t="s">
        <v>272</v>
      </c>
      <c r="B597" s="1" t="s">
        <v>274</v>
      </c>
      <c r="C597" s="1" t="s">
        <v>499</v>
      </c>
      <c r="D597" s="1"/>
      <c r="E597" s="1"/>
      <c r="F597" s="1"/>
      <c r="G597" s="7">
        <f>COUNTIF(SheetTable02[Focal Document
Element],A597)</f>
        <v>6</v>
      </c>
      <c r="H597" s="7" t="str">
        <f>IF(A597=A596,"",_xlfn.TEXTJOIN(", ", TRUE, C597:INDEX(C:C, ROW(C597)+SheetTable02[[#This Row],[Column1]]-1)))</f>
        <v/>
      </c>
    </row>
    <row r="598" spans="1:8" ht="57.6">
      <c r="A598" s="1" t="s">
        <v>272</v>
      </c>
      <c r="B598" s="1" t="s">
        <v>274</v>
      </c>
      <c r="C598" s="1" t="s">
        <v>518</v>
      </c>
      <c r="D598" s="1"/>
      <c r="E598" s="1"/>
      <c r="F598" s="1"/>
      <c r="G598" s="7">
        <f>COUNTIF(SheetTable02[Focal Document
Element],A598)</f>
        <v>6</v>
      </c>
      <c r="H598" s="7" t="str">
        <f>IF(A598=A597,"",_xlfn.TEXTJOIN(", ", TRUE, C598:INDEX(C:C, ROW(C598)+SheetTable02[[#This Row],[Column1]]-1)))</f>
        <v/>
      </c>
    </row>
    <row r="599" spans="1:8" ht="57.6">
      <c r="A599" s="1" t="s">
        <v>272</v>
      </c>
      <c r="B599" s="1" t="s">
        <v>274</v>
      </c>
      <c r="C599" s="1" t="s">
        <v>517</v>
      </c>
      <c r="D599" s="1"/>
      <c r="E599" s="1"/>
      <c r="F599" s="1"/>
      <c r="G599" s="7">
        <f>COUNTIF(SheetTable02[Focal Document
Element],A599)</f>
        <v>6</v>
      </c>
      <c r="H599" s="7" t="str">
        <f>IF(A599=A598,"",_xlfn.TEXTJOIN(", ", TRUE, C599:INDEX(C:C, ROW(C599)+SheetTable02[[#This Row],[Column1]]-1)))</f>
        <v/>
      </c>
    </row>
    <row r="600" spans="1:8" ht="57.6">
      <c r="A600" s="1" t="s">
        <v>272</v>
      </c>
      <c r="B600" s="1" t="s">
        <v>274</v>
      </c>
      <c r="C600" s="1" t="s">
        <v>516</v>
      </c>
      <c r="D600" s="1"/>
      <c r="E600" s="1"/>
      <c r="F600" s="1"/>
      <c r="G600" s="7">
        <f>COUNTIF(SheetTable02[Focal Document
Element],A600)</f>
        <v>6</v>
      </c>
      <c r="H600" s="7" t="str">
        <f>IF(A600=A599,"",_xlfn.TEXTJOIN(", ", TRUE, C600:INDEX(C:C, ROW(C600)+SheetTable02[[#This Row],[Column1]]-1)))</f>
        <v/>
      </c>
    </row>
    <row r="601" spans="1:8" ht="57.6">
      <c r="A601" s="1" t="s">
        <v>272</v>
      </c>
      <c r="B601" s="1" t="s">
        <v>274</v>
      </c>
      <c r="C601" s="1" t="s">
        <v>515</v>
      </c>
      <c r="D601" s="1"/>
      <c r="E601" s="1"/>
      <c r="F601" s="1"/>
      <c r="G601" s="7">
        <f>COUNTIF(SheetTable02[Focal Document
Element],A601)</f>
        <v>6</v>
      </c>
      <c r="H601" s="7" t="str">
        <f>IF(A601=A600,"",_xlfn.TEXTJOIN(", ", TRUE, C601:INDEX(C:C, ROW(C601)+SheetTable02[[#This Row],[Column1]]-1)))</f>
        <v/>
      </c>
    </row>
    <row r="602" spans="1:8" ht="72">
      <c r="A602" s="1" t="s">
        <v>514</v>
      </c>
      <c r="B602" s="1" t="s">
        <v>513</v>
      </c>
      <c r="C602" s="1"/>
      <c r="D602" s="1"/>
      <c r="E602" s="1"/>
      <c r="F602" s="1"/>
      <c r="G602" s="7">
        <f>COUNTIF(SheetTable02[Focal Document
Element],A602)</f>
        <v>1</v>
      </c>
      <c r="H602" s="7" t="str">
        <f>IF(A602=A601,"",_xlfn.TEXTJOIN(", ", TRUE, C602:INDEX(C:C, ROW(C602)+SheetTable02[[#This Row],[Column1]]-1)))</f>
        <v/>
      </c>
    </row>
    <row r="603" spans="1:8" ht="43.2">
      <c r="A603" s="1" t="s">
        <v>276</v>
      </c>
      <c r="B603" s="1" t="s">
        <v>277</v>
      </c>
      <c r="C603" s="1" t="s">
        <v>512</v>
      </c>
      <c r="D603" s="1"/>
      <c r="E603" s="1"/>
      <c r="F603" s="1"/>
      <c r="G603" s="7">
        <f>COUNTIF(SheetTable02[Focal Document
Element],A603)</f>
        <v>5</v>
      </c>
      <c r="H603" s="7" t="str">
        <f>IF(A603=A602,"",_xlfn.TEXTJOIN(", ", TRUE, C603:INDEX(C:C, ROW(C603)+SheetTable02[[#This Row],[Column1]]-1)))</f>
        <v>AC-03, AC-04, SC-04, SC-05, SC-07</v>
      </c>
    </row>
    <row r="604" spans="1:8" ht="43.2">
      <c r="A604" s="1" t="s">
        <v>276</v>
      </c>
      <c r="B604" s="1" t="s">
        <v>277</v>
      </c>
      <c r="C604" s="1" t="s">
        <v>475</v>
      </c>
      <c r="D604" s="1"/>
      <c r="E604" s="1"/>
      <c r="F604" s="1"/>
      <c r="G604" s="7">
        <f>COUNTIF(SheetTable02[Focal Document
Element],A604)</f>
        <v>5</v>
      </c>
      <c r="H604" s="7" t="str">
        <f>IF(A604=A603,"",_xlfn.TEXTJOIN(", ", TRUE, C604:INDEX(C:C, ROW(C604)+SheetTable02[[#This Row],[Column1]]-1)))</f>
        <v/>
      </c>
    </row>
    <row r="605" spans="1:8" ht="43.2">
      <c r="A605" s="1" t="s">
        <v>276</v>
      </c>
      <c r="B605" s="1" t="s">
        <v>277</v>
      </c>
      <c r="C605" s="1" t="s">
        <v>511</v>
      </c>
      <c r="D605" s="1"/>
      <c r="E605" s="1"/>
      <c r="F605" s="1"/>
      <c r="G605" s="7">
        <f>COUNTIF(SheetTable02[Focal Document
Element],A605)</f>
        <v>5</v>
      </c>
      <c r="H605" s="7" t="str">
        <f>IF(A605=A604,"",_xlfn.TEXTJOIN(", ", TRUE, C605:INDEX(C:C, ROW(C605)+SheetTable02[[#This Row],[Column1]]-1)))</f>
        <v/>
      </c>
    </row>
    <row r="606" spans="1:8" ht="43.2">
      <c r="A606" s="1" t="s">
        <v>276</v>
      </c>
      <c r="B606" s="1" t="s">
        <v>277</v>
      </c>
      <c r="C606" s="1" t="s">
        <v>485</v>
      </c>
      <c r="D606" s="1"/>
      <c r="E606" s="1"/>
      <c r="F606" s="1"/>
      <c r="G606" s="7">
        <f>COUNTIF(SheetTable02[Focal Document
Element],A606)</f>
        <v>5</v>
      </c>
      <c r="H606" s="7" t="str">
        <f>IF(A606=A605,"",_xlfn.TEXTJOIN(", ", TRUE, C606:INDEX(C:C, ROW(C606)+SheetTable02[[#This Row],[Column1]]-1)))</f>
        <v/>
      </c>
    </row>
    <row r="607" spans="1:8" ht="43.2">
      <c r="A607" s="1" t="s">
        <v>276</v>
      </c>
      <c r="B607" s="1" t="s">
        <v>277</v>
      </c>
      <c r="C607" s="1" t="s">
        <v>484</v>
      </c>
      <c r="D607" s="1"/>
      <c r="E607" s="1"/>
      <c r="F607" s="1"/>
      <c r="G607" s="7">
        <f>COUNTIF(SheetTable02[Focal Document
Element],A607)</f>
        <v>5</v>
      </c>
      <c r="H607" s="7" t="str">
        <f>IF(A607=A606,"",_xlfn.TEXTJOIN(", ", TRUE, C607:INDEX(C:C, ROW(C607)+SheetTable02[[#This Row],[Column1]]-1)))</f>
        <v/>
      </c>
    </row>
    <row r="608" spans="1:8" ht="43.2">
      <c r="A608" s="1" t="s">
        <v>279</v>
      </c>
      <c r="B608" s="1" t="s">
        <v>281</v>
      </c>
      <c r="C608" s="1" t="s">
        <v>417</v>
      </c>
      <c r="D608" s="1"/>
      <c r="E608" s="1"/>
      <c r="F608" s="1"/>
      <c r="G608" s="7">
        <f>COUNTIF(SheetTable02[Focal Document
Element],A608)</f>
        <v>10</v>
      </c>
      <c r="H608" s="7" t="str">
        <f>IF(A608=A607,"",_xlfn.TEXTJOIN(", ", TRUE, C608:INDEX(C:C, ROW(C608)+SheetTable02[[#This Row],[Column1]]-1)))</f>
        <v>CP-02, PE-09, PE-10, PE-11, PE-12, PE-13, PE-14, PE-15, PE-18, PE-23</v>
      </c>
    </row>
    <row r="609" spans="1:8" ht="43.2">
      <c r="A609" s="1" t="s">
        <v>279</v>
      </c>
      <c r="B609" s="1" t="s">
        <v>281</v>
      </c>
      <c r="C609" s="1" t="s">
        <v>510</v>
      </c>
      <c r="D609" s="1"/>
      <c r="E609" s="1"/>
      <c r="F609" s="1"/>
      <c r="G609" s="7">
        <f>COUNTIF(SheetTable02[Focal Document
Element],A609)</f>
        <v>10</v>
      </c>
      <c r="H609" s="7" t="str">
        <f>IF(A609=A608,"",_xlfn.TEXTJOIN(", ", TRUE, C609:INDEX(C:C, ROW(C609)+SheetTable02[[#This Row],[Column1]]-1)))</f>
        <v/>
      </c>
    </row>
    <row r="610" spans="1:8" ht="43.2">
      <c r="A610" s="1" t="s">
        <v>279</v>
      </c>
      <c r="B610" s="1" t="s">
        <v>281</v>
      </c>
      <c r="C610" s="1" t="s">
        <v>509</v>
      </c>
      <c r="D610" s="1"/>
      <c r="E610" s="1"/>
      <c r="F610" s="1"/>
      <c r="G610" s="7">
        <f>COUNTIF(SheetTable02[Focal Document
Element],A610)</f>
        <v>10</v>
      </c>
      <c r="H610" s="7" t="str">
        <f>IF(A610=A609,"",_xlfn.TEXTJOIN(", ", TRUE, C610:INDEX(C:C, ROW(C610)+SheetTable02[[#This Row],[Column1]]-1)))</f>
        <v/>
      </c>
    </row>
    <row r="611" spans="1:8" ht="43.2">
      <c r="A611" s="1" t="s">
        <v>279</v>
      </c>
      <c r="B611" s="1" t="s">
        <v>281</v>
      </c>
      <c r="C611" s="1" t="s">
        <v>508</v>
      </c>
      <c r="D611" s="1"/>
      <c r="E611" s="1"/>
      <c r="F611" s="1"/>
      <c r="G611" s="7">
        <f>COUNTIF(SheetTable02[Focal Document
Element],A611)</f>
        <v>10</v>
      </c>
      <c r="H611" s="7" t="str">
        <f>IF(A611=A610,"",_xlfn.TEXTJOIN(", ", TRUE, C611:INDEX(C:C, ROW(C611)+SheetTable02[[#This Row],[Column1]]-1)))</f>
        <v/>
      </c>
    </row>
    <row r="612" spans="1:8" ht="43.2">
      <c r="A612" s="1" t="s">
        <v>279</v>
      </c>
      <c r="B612" s="1" t="s">
        <v>281</v>
      </c>
      <c r="C612" s="1" t="s">
        <v>507</v>
      </c>
      <c r="D612" s="1"/>
      <c r="E612" s="1"/>
      <c r="F612" s="1"/>
      <c r="G612" s="7">
        <f>COUNTIF(SheetTable02[Focal Document
Element],A612)</f>
        <v>10</v>
      </c>
      <c r="H612" s="7" t="str">
        <f>IF(A612=A611,"",_xlfn.TEXTJOIN(", ", TRUE, C612:INDEX(C:C, ROW(C612)+SheetTable02[[#This Row],[Column1]]-1)))</f>
        <v/>
      </c>
    </row>
    <row r="613" spans="1:8" ht="43.2">
      <c r="A613" s="1" t="s">
        <v>279</v>
      </c>
      <c r="B613" s="1" t="s">
        <v>281</v>
      </c>
      <c r="C613" s="1" t="s">
        <v>506</v>
      </c>
      <c r="D613" s="1"/>
      <c r="E613" s="1"/>
      <c r="F613" s="1"/>
      <c r="G613" s="7">
        <f>COUNTIF(SheetTable02[Focal Document
Element],A613)</f>
        <v>10</v>
      </c>
      <c r="H613" s="7" t="str">
        <f>IF(A613=A612,"",_xlfn.TEXTJOIN(", ", TRUE, C613:INDEX(C:C, ROW(C613)+SheetTable02[[#This Row],[Column1]]-1)))</f>
        <v/>
      </c>
    </row>
    <row r="614" spans="1:8" ht="43.2">
      <c r="A614" s="1" t="s">
        <v>279</v>
      </c>
      <c r="B614" s="1" t="s">
        <v>281</v>
      </c>
      <c r="C614" s="1" t="s">
        <v>505</v>
      </c>
      <c r="D614" s="1"/>
      <c r="E614" s="1"/>
      <c r="F614" s="1"/>
      <c r="G614" s="7">
        <f>COUNTIF(SheetTable02[Focal Document
Element],A614)</f>
        <v>10</v>
      </c>
      <c r="H614" s="7" t="str">
        <f>IF(A614=A613,"",_xlfn.TEXTJOIN(", ", TRUE, C614:INDEX(C:C, ROW(C614)+SheetTable02[[#This Row],[Column1]]-1)))</f>
        <v/>
      </c>
    </row>
    <row r="615" spans="1:8" ht="43.2">
      <c r="A615" s="1" t="s">
        <v>279</v>
      </c>
      <c r="B615" s="1" t="s">
        <v>281</v>
      </c>
      <c r="C615" s="1" t="s">
        <v>504</v>
      </c>
      <c r="D615" s="1"/>
      <c r="E615" s="1"/>
      <c r="F615" s="1"/>
      <c r="G615" s="7">
        <f>COUNTIF(SheetTable02[Focal Document
Element],A615)</f>
        <v>10</v>
      </c>
      <c r="H615" s="7" t="str">
        <f>IF(A615=A614,"",_xlfn.TEXTJOIN(", ", TRUE, C615:INDEX(C:C, ROW(C615)+SheetTable02[[#This Row],[Column1]]-1)))</f>
        <v/>
      </c>
    </row>
    <row r="616" spans="1:8" ht="43.2">
      <c r="A616" s="1" t="s">
        <v>279</v>
      </c>
      <c r="B616" s="1" t="s">
        <v>281</v>
      </c>
      <c r="C616" s="1" t="s">
        <v>503</v>
      </c>
      <c r="D616" s="1"/>
      <c r="E616" s="1"/>
      <c r="F616" s="1"/>
      <c r="G616" s="7">
        <f>COUNTIF(SheetTable02[Focal Document
Element],A616)</f>
        <v>10</v>
      </c>
      <c r="H616" s="7" t="str">
        <f>IF(A616=A615,"",_xlfn.TEXTJOIN(", ", TRUE, C616:INDEX(C:C, ROW(C616)+SheetTable02[[#This Row],[Column1]]-1)))</f>
        <v/>
      </c>
    </row>
    <row r="617" spans="1:8" ht="43.2">
      <c r="A617" s="1" t="s">
        <v>279</v>
      </c>
      <c r="B617" s="1" t="s">
        <v>281</v>
      </c>
      <c r="C617" s="1" t="s">
        <v>502</v>
      </c>
      <c r="D617" s="1"/>
      <c r="E617" s="1"/>
      <c r="F617" s="1"/>
      <c r="G617" s="7">
        <f>COUNTIF(SheetTable02[Focal Document
Element],A617)</f>
        <v>10</v>
      </c>
      <c r="H617" s="7" t="str">
        <f>IF(A617=A616,"",_xlfn.TEXTJOIN(", ", TRUE, C617:INDEX(C:C, ROW(C617)+SheetTable02[[#This Row],[Column1]]-1)))</f>
        <v/>
      </c>
    </row>
    <row r="618" spans="1:8" ht="43.2">
      <c r="A618" s="1" t="s">
        <v>283</v>
      </c>
      <c r="B618" s="1" t="s">
        <v>285</v>
      </c>
      <c r="C618" s="1" t="s">
        <v>501</v>
      </c>
      <c r="D618" s="1"/>
      <c r="E618" s="1"/>
      <c r="F618" s="1"/>
      <c r="G618" s="7">
        <f>COUNTIF(SheetTable02[Focal Document
Element],A618)</f>
        <v>8</v>
      </c>
      <c r="H618" s="7" t="str">
        <f>IF(A618=A617,"",_xlfn.TEXTJOIN(", ", TRUE, C618:INDEX(C:C, ROW(C618)+SheetTable02[[#This Row],[Column1]]-1)))</f>
        <v>CP, IR, SA-08, SC-06, SC-24, SC-36, SC-39, SI-13</v>
      </c>
    </row>
    <row r="619" spans="1:8" ht="43.2">
      <c r="A619" s="1" t="s">
        <v>283</v>
      </c>
      <c r="B619" s="1" t="s">
        <v>285</v>
      </c>
      <c r="C619" s="1" t="s">
        <v>500</v>
      </c>
      <c r="D619" s="1"/>
      <c r="E619" s="1"/>
      <c r="F619" s="1"/>
      <c r="G619" s="7">
        <f>COUNTIF(SheetTable02[Focal Document
Element],A619)</f>
        <v>8</v>
      </c>
      <c r="H619" s="7" t="str">
        <f>IF(A619=A618,"",_xlfn.TEXTJOIN(", ", TRUE, C619:INDEX(C:C, ROW(C619)+SheetTable02[[#This Row],[Column1]]-1)))</f>
        <v/>
      </c>
    </row>
    <row r="620" spans="1:8" ht="43.2">
      <c r="A620" s="1" t="s">
        <v>283</v>
      </c>
      <c r="B620" s="1" t="s">
        <v>285</v>
      </c>
      <c r="C620" s="1" t="s">
        <v>499</v>
      </c>
      <c r="D620" s="1"/>
      <c r="E620" s="1"/>
      <c r="F620" s="1"/>
      <c r="G620" s="7">
        <f>COUNTIF(SheetTable02[Focal Document
Element],A620)</f>
        <v>8</v>
      </c>
      <c r="H620" s="7" t="str">
        <f>IF(A620=A619,"",_xlfn.TEXTJOIN(", ", TRUE, C620:INDEX(C:C, ROW(C620)+SheetTable02[[#This Row],[Column1]]-1)))</f>
        <v/>
      </c>
    </row>
    <row r="621" spans="1:8" ht="43.2">
      <c r="A621" s="1" t="s">
        <v>283</v>
      </c>
      <c r="B621" s="1" t="s">
        <v>285</v>
      </c>
      <c r="C621" s="1" t="s">
        <v>498</v>
      </c>
      <c r="D621" s="1"/>
      <c r="E621" s="1"/>
      <c r="F621" s="1"/>
      <c r="G621" s="7">
        <f>COUNTIF(SheetTable02[Focal Document
Element],A621)</f>
        <v>8</v>
      </c>
      <c r="H621" s="7" t="str">
        <f>IF(A621=A620,"",_xlfn.TEXTJOIN(", ", TRUE, C621:INDEX(C:C, ROW(C621)+SheetTable02[[#This Row],[Column1]]-1)))</f>
        <v/>
      </c>
    </row>
    <row r="622" spans="1:8" ht="43.2">
      <c r="A622" s="1" t="s">
        <v>283</v>
      </c>
      <c r="B622" s="1" t="s">
        <v>285</v>
      </c>
      <c r="C622" s="1" t="s">
        <v>497</v>
      </c>
      <c r="D622" s="1"/>
      <c r="E622" s="1"/>
      <c r="F622" s="1"/>
      <c r="G622" s="7">
        <f>COUNTIF(SheetTable02[Focal Document
Element],A622)</f>
        <v>8</v>
      </c>
      <c r="H622" s="7" t="str">
        <f>IF(A622=A621,"",_xlfn.TEXTJOIN(", ", TRUE, C622:INDEX(C:C, ROW(C622)+SheetTable02[[#This Row],[Column1]]-1)))</f>
        <v/>
      </c>
    </row>
    <row r="623" spans="1:8" ht="43.2">
      <c r="A623" s="1" t="s">
        <v>283</v>
      </c>
      <c r="B623" s="1" t="s">
        <v>285</v>
      </c>
      <c r="C623" s="1" t="s">
        <v>496</v>
      </c>
      <c r="D623" s="1"/>
      <c r="E623" s="1"/>
      <c r="F623" s="1"/>
      <c r="G623" s="7">
        <f>COUNTIF(SheetTable02[Focal Document
Element],A623)</f>
        <v>8</v>
      </c>
      <c r="H623" s="7" t="str">
        <f>IF(A623=A622,"",_xlfn.TEXTJOIN(", ", TRUE, C623:INDEX(C:C, ROW(C623)+SheetTable02[[#This Row],[Column1]]-1)))</f>
        <v/>
      </c>
    </row>
    <row r="624" spans="1:8" ht="43.2">
      <c r="A624" s="1" t="s">
        <v>283</v>
      </c>
      <c r="B624" s="1" t="s">
        <v>285</v>
      </c>
      <c r="C624" s="1" t="s">
        <v>495</v>
      </c>
      <c r="D624" s="1"/>
      <c r="E624" s="1"/>
      <c r="F624" s="1"/>
      <c r="G624" s="7">
        <f>COUNTIF(SheetTable02[Focal Document
Element],A624)</f>
        <v>8</v>
      </c>
      <c r="H624" s="7" t="str">
        <f>IF(A624=A623,"",_xlfn.TEXTJOIN(", ", TRUE, C624:INDEX(C:C, ROW(C624)+SheetTable02[[#This Row],[Column1]]-1)))</f>
        <v/>
      </c>
    </row>
    <row r="625" spans="1:8" ht="43.2">
      <c r="A625" s="1" t="s">
        <v>283</v>
      </c>
      <c r="B625" s="1" t="s">
        <v>285</v>
      </c>
      <c r="C625" s="1" t="s">
        <v>494</v>
      </c>
      <c r="D625" s="1"/>
      <c r="E625" s="1"/>
      <c r="F625" s="1"/>
      <c r="G625" s="7">
        <f>COUNTIF(SheetTable02[Focal Document
Element],A625)</f>
        <v>8</v>
      </c>
      <c r="H625" s="7" t="str">
        <f>IF(A625=A624,"",_xlfn.TEXTJOIN(", ", TRUE, C625:INDEX(C:C, ROW(C625)+SheetTable02[[#This Row],[Column1]]-1)))</f>
        <v/>
      </c>
    </row>
    <row r="626" spans="1:8" ht="28.8">
      <c r="A626" s="1" t="s">
        <v>287</v>
      </c>
      <c r="B626" s="1" t="s">
        <v>289</v>
      </c>
      <c r="C626" s="1" t="s">
        <v>493</v>
      </c>
      <c r="D626" s="1"/>
      <c r="E626" s="1"/>
      <c r="F626" s="1"/>
      <c r="G626" s="7">
        <f>COUNTIF(SheetTable02[Focal Document
Element],A626)</f>
        <v>5</v>
      </c>
      <c r="H626" s="7" t="str">
        <f>IF(A626=A625,"",_xlfn.TEXTJOIN(", ", TRUE, C626:INDEX(C:C, ROW(C626)+SheetTable02[[#This Row],[Column1]]-1)))</f>
        <v>CP-06
, CP-07, CP-08, PM-03, PM-09</v>
      </c>
    </row>
    <row r="627" spans="1:8" ht="28.8">
      <c r="A627" s="1" t="s">
        <v>287</v>
      </c>
      <c r="B627" s="1" t="s">
        <v>289</v>
      </c>
      <c r="C627" s="1" t="s">
        <v>492</v>
      </c>
      <c r="D627" s="1"/>
      <c r="E627" s="1"/>
      <c r="F627" s="1"/>
      <c r="G627" s="7">
        <f>COUNTIF(SheetTable02[Focal Document
Element],A627)</f>
        <v>5</v>
      </c>
      <c r="H627" s="7" t="str">
        <f>IF(A627=A626,"",_xlfn.TEXTJOIN(", ", TRUE, C627:INDEX(C:C, ROW(C627)+SheetTable02[[#This Row],[Column1]]-1)))</f>
        <v/>
      </c>
    </row>
    <row r="628" spans="1:8" ht="28.8">
      <c r="A628" s="1" t="s">
        <v>287</v>
      </c>
      <c r="B628" s="1" t="s">
        <v>289</v>
      </c>
      <c r="C628" s="1" t="s">
        <v>491</v>
      </c>
      <c r="D628" s="1"/>
      <c r="E628" s="1"/>
      <c r="F628" s="1"/>
      <c r="G628" s="7">
        <f>COUNTIF(SheetTable02[Focal Document
Element],A628)</f>
        <v>5</v>
      </c>
      <c r="H628" s="7" t="str">
        <f>IF(A628=A627,"",_xlfn.TEXTJOIN(", ", TRUE, C628:INDEX(C:C, ROW(C628)+SheetTable02[[#This Row],[Column1]]-1)))</f>
        <v/>
      </c>
    </row>
    <row r="629" spans="1:8" ht="28.8">
      <c r="A629" s="1" t="s">
        <v>287</v>
      </c>
      <c r="B629" s="1" t="s">
        <v>289</v>
      </c>
      <c r="C629" s="1" t="s">
        <v>490</v>
      </c>
      <c r="D629" s="1"/>
      <c r="E629" s="1"/>
      <c r="F629" s="1"/>
      <c r="G629" s="7">
        <f>COUNTIF(SheetTable02[Focal Document
Element],A629)</f>
        <v>5</v>
      </c>
      <c r="H629" s="7" t="str">
        <f>IF(A629=A628,"",_xlfn.TEXTJOIN(", ", TRUE, C629:INDEX(C:C, ROW(C629)+SheetTable02[[#This Row],[Column1]]-1)))</f>
        <v/>
      </c>
    </row>
    <row r="630" spans="1:8" ht="28.8">
      <c r="A630" s="1" t="s">
        <v>287</v>
      </c>
      <c r="B630" s="1" t="s">
        <v>289</v>
      </c>
      <c r="C630" s="1" t="s">
        <v>426</v>
      </c>
      <c r="D630" s="1"/>
      <c r="E630" s="1"/>
      <c r="F630" s="1"/>
      <c r="G630" s="7">
        <f>COUNTIF(SheetTable02[Focal Document
Element],A630)</f>
        <v>5</v>
      </c>
      <c r="H630" s="7" t="str">
        <f>IF(A630=A629,"",_xlfn.TEXTJOIN(", ", TRUE, C630:INDEX(C:C, ROW(C630)+SheetTable02[[#This Row],[Column1]]-1)))</f>
        <v/>
      </c>
    </row>
    <row r="631" spans="1:8" ht="28.8">
      <c r="A631" s="1" t="s">
        <v>489</v>
      </c>
      <c r="B631" s="1" t="s">
        <v>488</v>
      </c>
      <c r="C631" s="1"/>
      <c r="D631" s="1"/>
      <c r="E631" s="1"/>
      <c r="F631" s="1"/>
      <c r="G631" s="7">
        <f>COUNTIF(SheetTable02[Focal Document
Element],A631)</f>
        <v>1</v>
      </c>
      <c r="H631" s="7" t="str">
        <f>IF(A631=A630,"",_xlfn.TEXTJOIN(", ", TRUE, C631:INDEX(C:C, ROW(C631)+SheetTable02[[#This Row],[Column1]]-1)))</f>
        <v/>
      </c>
    </row>
    <row r="632" spans="1:8" ht="43.2">
      <c r="A632" s="1" t="s">
        <v>487</v>
      </c>
      <c r="B632" s="1" t="s">
        <v>486</v>
      </c>
      <c r="C632" s="1"/>
      <c r="D632" s="1"/>
      <c r="E632" s="1"/>
      <c r="F632" s="1"/>
      <c r="G632" s="7">
        <f>COUNTIF(SheetTable02[Focal Document
Element],A632)</f>
        <v>1</v>
      </c>
      <c r="H632" s="7" t="str">
        <f>IF(A632=A631,"",_xlfn.TEXTJOIN(", ", TRUE, C632:INDEX(C:C, ROW(C632)+SheetTable02[[#This Row],[Column1]]-1)))</f>
        <v/>
      </c>
    </row>
    <row r="633" spans="1:8" ht="43.2">
      <c r="A633" s="1" t="s">
        <v>291</v>
      </c>
      <c r="B633" s="1" t="s">
        <v>293</v>
      </c>
      <c r="C633" s="1" t="s">
        <v>480</v>
      </c>
      <c r="D633" s="1"/>
      <c r="E633" s="1"/>
      <c r="F633" s="1"/>
      <c r="G633" s="7">
        <f>COUNTIF(SheetTable02[Focal Document
Element],A633)</f>
        <v>7</v>
      </c>
      <c r="H633" s="7" t="str">
        <f>IF(A633=A632,"",_xlfn.TEXTJOIN(", ", TRUE, C633:INDEX(C:C, ROW(C633)+SheetTable02[[#This Row],[Column1]]-1)))</f>
        <v>AC-02, AU-12, CA-07, CM-03, SC-05, SC-07, SI-04</v>
      </c>
    </row>
    <row r="634" spans="1:8" ht="43.2">
      <c r="A634" s="1" t="s">
        <v>291</v>
      </c>
      <c r="B634" s="1" t="s">
        <v>293</v>
      </c>
      <c r="C634" s="1" t="s">
        <v>473</v>
      </c>
      <c r="D634" s="1"/>
      <c r="E634" s="1"/>
      <c r="F634" s="1"/>
      <c r="G634" s="7">
        <f>COUNTIF(SheetTable02[Focal Document
Element],A634)</f>
        <v>7</v>
      </c>
      <c r="H634" s="7" t="str">
        <f>IF(A634=A633,"",_xlfn.TEXTJOIN(", ", TRUE, C634:INDEX(C:C, ROW(C634)+SheetTable02[[#This Row],[Column1]]-1)))</f>
        <v/>
      </c>
    </row>
    <row r="635" spans="1:8" ht="43.2">
      <c r="A635" s="1" t="s">
        <v>291</v>
      </c>
      <c r="B635" s="1" t="s">
        <v>293</v>
      </c>
      <c r="C635" s="1" t="s">
        <v>462</v>
      </c>
      <c r="D635" s="1"/>
      <c r="E635" s="1"/>
      <c r="F635" s="1"/>
      <c r="G635" s="7">
        <f>COUNTIF(SheetTable02[Focal Document
Element],A635)</f>
        <v>7</v>
      </c>
      <c r="H635" s="7" t="str">
        <f>IF(A635=A634,"",_xlfn.TEXTJOIN(", ", TRUE, C635:INDEX(C:C, ROW(C635)+SheetTable02[[#This Row],[Column1]]-1)))</f>
        <v/>
      </c>
    </row>
    <row r="636" spans="1:8" ht="43.2">
      <c r="A636" s="1" t="s">
        <v>291</v>
      </c>
      <c r="B636" s="1" t="s">
        <v>293</v>
      </c>
      <c r="C636" s="1" t="s">
        <v>472</v>
      </c>
      <c r="D636" s="1"/>
      <c r="E636" s="1"/>
      <c r="F636" s="1"/>
      <c r="G636" s="7">
        <f>COUNTIF(SheetTable02[Focal Document
Element],A636)</f>
        <v>7</v>
      </c>
      <c r="H636" s="7" t="str">
        <f>IF(A636=A635,"",_xlfn.TEXTJOIN(", ", TRUE, C636:INDEX(C:C, ROW(C636)+SheetTable02[[#This Row],[Column1]]-1)))</f>
        <v/>
      </c>
    </row>
    <row r="637" spans="1:8" ht="43.2">
      <c r="A637" s="1" t="s">
        <v>291</v>
      </c>
      <c r="B637" s="1" t="s">
        <v>293</v>
      </c>
      <c r="C637" s="1" t="s">
        <v>485</v>
      </c>
      <c r="D637" s="1"/>
      <c r="E637" s="1"/>
      <c r="F637" s="1"/>
      <c r="G637" s="7">
        <f>COUNTIF(SheetTable02[Focal Document
Element],A637)</f>
        <v>7</v>
      </c>
      <c r="H637" s="7" t="str">
        <f>IF(A637=A636,"",_xlfn.TEXTJOIN(", ", TRUE, C637:INDEX(C:C, ROW(C637)+SheetTable02[[#This Row],[Column1]]-1)))</f>
        <v/>
      </c>
    </row>
    <row r="638" spans="1:8" ht="43.2">
      <c r="A638" s="1" t="s">
        <v>291</v>
      </c>
      <c r="B638" s="1" t="s">
        <v>293</v>
      </c>
      <c r="C638" s="1" t="s">
        <v>484</v>
      </c>
      <c r="D638" s="1"/>
      <c r="E638" s="1"/>
      <c r="F638" s="1"/>
      <c r="G638" s="7">
        <f>COUNTIF(SheetTable02[Focal Document
Element],A638)</f>
        <v>7</v>
      </c>
      <c r="H638" s="7" t="str">
        <f>IF(A638=A637,"",_xlfn.TEXTJOIN(", ", TRUE, C638:INDEX(C:C, ROW(C638)+SheetTable02[[#This Row],[Column1]]-1)))</f>
        <v/>
      </c>
    </row>
    <row r="639" spans="1:8" ht="43.2">
      <c r="A639" s="1" t="s">
        <v>291</v>
      </c>
      <c r="B639" s="1" t="s">
        <v>293</v>
      </c>
      <c r="C639" s="1" t="s">
        <v>461</v>
      </c>
      <c r="D639" s="1"/>
      <c r="E639" s="1"/>
      <c r="F639" s="1"/>
      <c r="G639" s="7">
        <f>COUNTIF(SheetTable02[Focal Document
Element],A639)</f>
        <v>7</v>
      </c>
      <c r="H639" s="7" t="str">
        <f>IF(A639=A638,"",_xlfn.TEXTJOIN(", ", TRUE, C639:INDEX(C:C, ROW(C639)+SheetTable02[[#This Row],[Column1]]-1)))</f>
        <v/>
      </c>
    </row>
    <row r="640" spans="1:8" ht="28.8">
      <c r="A640" s="1" t="s">
        <v>295</v>
      </c>
      <c r="B640" s="1" t="s">
        <v>297</v>
      </c>
      <c r="C640" s="1" t="s">
        <v>462</v>
      </c>
      <c r="D640" s="1"/>
      <c r="E640" s="1"/>
      <c r="F640" s="1"/>
      <c r="G640" s="7">
        <f>COUNTIF(SheetTable02[Focal Document
Element],A640)</f>
        <v>4</v>
      </c>
      <c r="H640" s="7" t="str">
        <f>IF(A640=A639,"",_xlfn.TEXTJOIN(", ", TRUE, C640:INDEX(C:C, ROW(C640)+SheetTable02[[#This Row],[Column1]]-1)))</f>
        <v>CA-07, PE-03, PE-06, PE-20</v>
      </c>
    </row>
    <row r="641" spans="1:8" ht="28.8">
      <c r="A641" s="1" t="s">
        <v>295</v>
      </c>
      <c r="B641" s="1" t="s">
        <v>297</v>
      </c>
      <c r="C641" s="1" t="s">
        <v>483</v>
      </c>
      <c r="D641" s="1"/>
      <c r="E641" s="1"/>
      <c r="F641" s="1"/>
      <c r="G641" s="7">
        <f>COUNTIF(SheetTable02[Focal Document
Element],A641)</f>
        <v>4</v>
      </c>
      <c r="H641" s="7" t="str">
        <f>IF(A641=A640,"",_xlfn.TEXTJOIN(", ", TRUE, C641:INDEX(C:C, ROW(C641)+SheetTable02[[#This Row],[Column1]]-1)))</f>
        <v/>
      </c>
    </row>
    <row r="642" spans="1:8" ht="28.8">
      <c r="A642" s="1" t="s">
        <v>295</v>
      </c>
      <c r="B642" s="1" t="s">
        <v>297</v>
      </c>
      <c r="C642" s="1" t="s">
        <v>482</v>
      </c>
      <c r="D642" s="1"/>
      <c r="E642" s="1"/>
      <c r="F642" s="1"/>
      <c r="G642" s="7">
        <f>COUNTIF(SheetTable02[Focal Document
Element],A642)</f>
        <v>4</v>
      </c>
      <c r="H642" s="7" t="str">
        <f>IF(A642=A641,"",_xlfn.TEXTJOIN(", ", TRUE, C642:INDEX(C:C, ROW(C642)+SheetTable02[[#This Row],[Column1]]-1)))</f>
        <v/>
      </c>
    </row>
    <row r="643" spans="1:8" ht="28.8">
      <c r="A643" s="1" t="s">
        <v>295</v>
      </c>
      <c r="B643" s="1" t="s">
        <v>297</v>
      </c>
      <c r="C643" s="1" t="s">
        <v>481</v>
      </c>
      <c r="D643" s="1"/>
      <c r="E643" s="1"/>
      <c r="F643" s="1"/>
      <c r="G643" s="7">
        <f>COUNTIF(SheetTable02[Focal Document
Element],A643)</f>
        <v>4</v>
      </c>
      <c r="H643" s="7" t="str">
        <f>IF(A643=A642,"",_xlfn.TEXTJOIN(", ", TRUE, C643:INDEX(C:C, ROW(C643)+SheetTable02[[#This Row],[Column1]]-1)))</f>
        <v/>
      </c>
    </row>
    <row r="644" spans="1:8" ht="43.2">
      <c r="A644" s="1" t="s">
        <v>299</v>
      </c>
      <c r="B644" s="1" t="s">
        <v>301</v>
      </c>
      <c r="C644" s="1" t="s">
        <v>480</v>
      </c>
      <c r="D644" s="1"/>
      <c r="E644" s="1"/>
      <c r="F644" s="1"/>
      <c r="G644" s="7">
        <f>COUNTIF(SheetTable02[Focal Document
Element],A644)</f>
        <v>6</v>
      </c>
      <c r="H644" s="7" t="str">
        <f>IF(A644=A643,"",_xlfn.TEXTJOIN(", ", TRUE, C644:INDEX(C:C, ROW(C644)+SheetTable02[[#This Row],[Column1]]-1)))</f>
        <v>AC-02, AU-12, AU-13, CA-07, CM-10, CM-11</v>
      </c>
    </row>
    <row r="645" spans="1:8" ht="43.2">
      <c r="A645" s="1" t="s">
        <v>299</v>
      </c>
      <c r="B645" s="1" t="s">
        <v>301</v>
      </c>
      <c r="C645" s="1" t="s">
        <v>473</v>
      </c>
      <c r="D645" s="1"/>
      <c r="E645" s="1"/>
      <c r="F645" s="1"/>
      <c r="G645" s="7">
        <f>COUNTIF(SheetTable02[Focal Document
Element],A645)</f>
        <v>6</v>
      </c>
      <c r="H645" s="7" t="str">
        <f>IF(A645=A644,"",_xlfn.TEXTJOIN(", ", TRUE, C645:INDEX(C:C, ROW(C645)+SheetTable02[[#This Row],[Column1]]-1)))</f>
        <v/>
      </c>
    </row>
    <row r="646" spans="1:8" ht="43.2">
      <c r="A646" s="1" t="s">
        <v>299</v>
      </c>
      <c r="B646" s="1" t="s">
        <v>301</v>
      </c>
      <c r="C646" s="1" t="s">
        <v>479</v>
      </c>
      <c r="D646" s="1"/>
      <c r="E646" s="1"/>
      <c r="F646" s="1"/>
      <c r="G646" s="7">
        <f>COUNTIF(SheetTable02[Focal Document
Element],A646)</f>
        <v>6</v>
      </c>
      <c r="H646" s="7" t="str">
        <f>IF(A646=A645,"",_xlfn.TEXTJOIN(", ", TRUE, C646:INDEX(C:C, ROW(C646)+SheetTable02[[#This Row],[Column1]]-1)))</f>
        <v/>
      </c>
    </row>
    <row r="647" spans="1:8" ht="43.2">
      <c r="A647" s="1" t="s">
        <v>299</v>
      </c>
      <c r="B647" s="1" t="s">
        <v>301</v>
      </c>
      <c r="C647" s="1" t="s">
        <v>462</v>
      </c>
      <c r="D647" s="1"/>
      <c r="E647" s="1"/>
      <c r="F647" s="1"/>
      <c r="G647" s="7">
        <f>COUNTIF(SheetTable02[Focal Document
Element],A647)</f>
        <v>6</v>
      </c>
      <c r="H647" s="7" t="str">
        <f>IF(A647=A646,"",_xlfn.TEXTJOIN(", ", TRUE, C647:INDEX(C:C, ROW(C647)+SheetTable02[[#This Row],[Column1]]-1)))</f>
        <v/>
      </c>
    </row>
    <row r="648" spans="1:8" ht="43.2">
      <c r="A648" s="1" t="s">
        <v>299</v>
      </c>
      <c r="B648" s="1" t="s">
        <v>301</v>
      </c>
      <c r="C648" s="1" t="s">
        <v>470</v>
      </c>
      <c r="D648" s="1"/>
      <c r="E648" s="1"/>
      <c r="F648" s="1"/>
      <c r="G648" s="7">
        <f>COUNTIF(SheetTable02[Focal Document
Element],A648)</f>
        <v>6</v>
      </c>
      <c r="H648" s="7" t="str">
        <f>IF(A648=A647,"",_xlfn.TEXTJOIN(", ", TRUE, C648:INDEX(C:C, ROW(C648)+SheetTable02[[#This Row],[Column1]]-1)))</f>
        <v/>
      </c>
    </row>
    <row r="649" spans="1:8" ht="43.2">
      <c r="A649" s="1" t="s">
        <v>299</v>
      </c>
      <c r="B649" s="1" t="s">
        <v>301</v>
      </c>
      <c r="C649" s="1" t="s">
        <v>469</v>
      </c>
      <c r="D649" s="1"/>
      <c r="E649" s="1"/>
      <c r="F649" s="1"/>
      <c r="G649" s="7">
        <f>COUNTIF(SheetTable02[Focal Document
Element],A649)</f>
        <v>6</v>
      </c>
      <c r="H649" s="7" t="str">
        <f>IF(A649=A648,"",_xlfn.TEXTJOIN(", ", TRUE, C649:INDEX(C:C, ROW(C649)+SheetTable02[[#This Row],[Column1]]-1)))</f>
        <v/>
      </c>
    </row>
    <row r="650" spans="1:8" ht="43.2">
      <c r="A650" s="1" t="s">
        <v>303</v>
      </c>
      <c r="B650" s="1" t="s">
        <v>305</v>
      </c>
      <c r="C650" s="1" t="s">
        <v>462</v>
      </c>
      <c r="D650" s="1"/>
      <c r="E650" s="1"/>
      <c r="F650" s="1"/>
      <c r="G650" s="7">
        <f>COUNTIF(SheetTable02[Focal Document
Element],A650)</f>
        <v>5</v>
      </c>
      <c r="H650" s="7" t="str">
        <f>IF(A650=A649,"",_xlfn.TEXTJOIN(", ", TRUE, C650:INDEX(C:C, ROW(C650)+SheetTable02[[#This Row],[Column1]]-1)))</f>
        <v>CA-07, PS-07, SA-04, SA-09, SI-04</v>
      </c>
    </row>
    <row r="651" spans="1:8" ht="43.2">
      <c r="A651" s="1" t="s">
        <v>303</v>
      </c>
      <c r="B651" s="1" t="s">
        <v>305</v>
      </c>
      <c r="C651" s="1" t="s">
        <v>478</v>
      </c>
      <c r="D651" s="1"/>
      <c r="E651" s="1"/>
      <c r="F651" s="1"/>
      <c r="G651" s="7">
        <f>COUNTIF(SheetTable02[Focal Document
Element],A651)</f>
        <v>5</v>
      </c>
      <c r="H651" s="7" t="str">
        <f>IF(A651=A650,"",_xlfn.TEXTJOIN(", ", TRUE, C651:INDEX(C:C, ROW(C651)+SheetTable02[[#This Row],[Column1]]-1)))</f>
        <v/>
      </c>
    </row>
    <row r="652" spans="1:8" ht="43.2">
      <c r="A652" s="1" t="s">
        <v>303</v>
      </c>
      <c r="B652" s="1" t="s">
        <v>305</v>
      </c>
      <c r="C652" s="1" t="s">
        <v>477</v>
      </c>
      <c r="D652" s="1"/>
      <c r="E652" s="1"/>
      <c r="F652" s="1"/>
      <c r="G652" s="7">
        <f>COUNTIF(SheetTable02[Focal Document
Element],A652)</f>
        <v>5</v>
      </c>
      <c r="H652" s="7" t="str">
        <f>IF(A652=A651,"",_xlfn.TEXTJOIN(", ", TRUE, C652:INDEX(C:C, ROW(C652)+SheetTable02[[#This Row],[Column1]]-1)))</f>
        <v/>
      </c>
    </row>
    <row r="653" spans="1:8" ht="43.2">
      <c r="A653" s="1" t="s">
        <v>303</v>
      </c>
      <c r="B653" s="1" t="s">
        <v>305</v>
      </c>
      <c r="C653" s="1" t="s">
        <v>476</v>
      </c>
      <c r="D653" s="1"/>
      <c r="E653" s="1"/>
      <c r="F653" s="1"/>
      <c r="G653" s="7">
        <f>COUNTIF(SheetTable02[Focal Document
Element],A653)</f>
        <v>5</v>
      </c>
      <c r="H653" s="7" t="str">
        <f>IF(A653=A652,"",_xlfn.TEXTJOIN(", ", TRUE, C653:INDEX(C:C, ROW(C653)+SheetTable02[[#This Row],[Column1]]-1)))</f>
        <v/>
      </c>
    </row>
    <row r="654" spans="1:8" ht="43.2">
      <c r="A654" s="1" t="s">
        <v>303</v>
      </c>
      <c r="B654" s="1" t="s">
        <v>305</v>
      </c>
      <c r="C654" s="1" t="s">
        <v>461</v>
      </c>
      <c r="D654" s="1"/>
      <c r="E654" s="1"/>
      <c r="F654" s="1"/>
      <c r="G654" s="7">
        <f>COUNTIF(SheetTable02[Focal Document
Element],A654)</f>
        <v>5</v>
      </c>
      <c r="H654" s="7" t="str">
        <f>IF(A654=A653,"",_xlfn.TEXTJOIN(", ", TRUE, C654:INDEX(C:C, ROW(C654)+SheetTable02[[#This Row],[Column1]]-1)))</f>
        <v/>
      </c>
    </row>
    <row r="655" spans="1:8" ht="57.6">
      <c r="A655" s="1" t="s">
        <v>307</v>
      </c>
      <c r="B655" s="1" t="s">
        <v>309</v>
      </c>
      <c r="C655" s="1" t="s">
        <v>475</v>
      </c>
      <c r="D655" s="1"/>
      <c r="E655" s="1"/>
      <c r="F655" s="1"/>
      <c r="G655" s="7">
        <f>COUNTIF(SheetTable02[Focal Document
Element],A655)</f>
        <v>12</v>
      </c>
      <c r="H655" s="7" t="str">
        <f>IF(A655=A654,"",_xlfn.TEXTJOIN(", ", TRUE, C655:INDEX(C:C, ROW(C655)+SheetTable02[[#This Row],[Column1]]-1)))</f>
        <v>AC-04, AC-09, AU-12, CA-07, CM-03, CM-06, CM-10, CM-11, SC-34, SC-35, SI-04, SI-07</v>
      </c>
    </row>
    <row r="656" spans="1:8" ht="57.6">
      <c r="A656" s="1" t="s">
        <v>307</v>
      </c>
      <c r="B656" s="1" t="s">
        <v>309</v>
      </c>
      <c r="C656" s="1" t="s">
        <v>474</v>
      </c>
      <c r="D656" s="1"/>
      <c r="E656" s="1"/>
      <c r="F656" s="1"/>
      <c r="G656" s="7">
        <f>COUNTIF(SheetTable02[Focal Document
Element],A656)</f>
        <v>12</v>
      </c>
      <c r="H656" s="7" t="str">
        <f>IF(A656=A655,"",_xlfn.TEXTJOIN(", ", TRUE, C656:INDEX(C:C, ROW(C656)+SheetTable02[[#This Row],[Column1]]-1)))</f>
        <v/>
      </c>
    </row>
    <row r="657" spans="1:8" ht="57.6">
      <c r="A657" s="1" t="s">
        <v>307</v>
      </c>
      <c r="B657" s="1" t="s">
        <v>309</v>
      </c>
      <c r="C657" s="1" t="s">
        <v>473</v>
      </c>
      <c r="D657" s="1"/>
      <c r="E657" s="1"/>
      <c r="F657" s="1"/>
      <c r="G657" s="7">
        <f>COUNTIF(SheetTable02[Focal Document
Element],A657)</f>
        <v>12</v>
      </c>
      <c r="H657" s="7" t="str">
        <f>IF(A657=A656,"",_xlfn.TEXTJOIN(", ", TRUE, C657:INDEX(C:C, ROW(C657)+SheetTable02[[#This Row],[Column1]]-1)))</f>
        <v/>
      </c>
    </row>
    <row r="658" spans="1:8" ht="57.6">
      <c r="A658" s="1" t="s">
        <v>307</v>
      </c>
      <c r="B658" s="1" t="s">
        <v>309</v>
      </c>
      <c r="C658" s="1" t="s">
        <v>462</v>
      </c>
      <c r="D658" s="1"/>
      <c r="E658" s="1"/>
      <c r="F658" s="1"/>
      <c r="G658" s="7">
        <f>COUNTIF(SheetTable02[Focal Document
Element],A658)</f>
        <v>12</v>
      </c>
      <c r="H658" s="7" t="str">
        <f>IF(A658=A657,"",_xlfn.TEXTJOIN(", ", TRUE, C658:INDEX(C:C, ROW(C658)+SheetTable02[[#This Row],[Column1]]-1)))</f>
        <v/>
      </c>
    </row>
    <row r="659" spans="1:8" ht="57.6">
      <c r="A659" s="1" t="s">
        <v>307</v>
      </c>
      <c r="B659" s="1" t="s">
        <v>309</v>
      </c>
      <c r="C659" s="1" t="s">
        <v>472</v>
      </c>
      <c r="D659" s="1"/>
      <c r="E659" s="1"/>
      <c r="F659" s="1"/>
      <c r="G659" s="7">
        <f>COUNTIF(SheetTable02[Focal Document
Element],A659)</f>
        <v>12</v>
      </c>
      <c r="H659" s="7" t="str">
        <f>IF(A659=A658,"",_xlfn.TEXTJOIN(", ", TRUE, C659:INDEX(C:C, ROW(C659)+SheetTable02[[#This Row],[Column1]]-1)))</f>
        <v/>
      </c>
    </row>
    <row r="660" spans="1:8" ht="57.6">
      <c r="A660" s="1" t="s">
        <v>307</v>
      </c>
      <c r="B660" s="1" t="s">
        <v>309</v>
      </c>
      <c r="C660" s="1" t="s">
        <v>471</v>
      </c>
      <c r="D660" s="1"/>
      <c r="E660" s="1"/>
      <c r="F660" s="1"/>
      <c r="G660" s="7">
        <f>COUNTIF(SheetTable02[Focal Document
Element],A660)</f>
        <v>12</v>
      </c>
      <c r="H660" s="7" t="str">
        <f>IF(A660=A659,"",_xlfn.TEXTJOIN(", ", TRUE, C660:INDEX(C:C, ROW(C660)+SheetTable02[[#This Row],[Column1]]-1)))</f>
        <v/>
      </c>
    </row>
    <row r="661" spans="1:8" ht="57.6">
      <c r="A661" s="1" t="s">
        <v>307</v>
      </c>
      <c r="B661" s="1" t="s">
        <v>309</v>
      </c>
      <c r="C661" s="1" t="s">
        <v>470</v>
      </c>
      <c r="D661" s="1"/>
      <c r="E661" s="1"/>
      <c r="F661" s="1"/>
      <c r="G661" s="7">
        <f>COUNTIF(SheetTable02[Focal Document
Element],A661)</f>
        <v>12</v>
      </c>
      <c r="H661" s="7" t="str">
        <f>IF(A661=A660,"",_xlfn.TEXTJOIN(", ", TRUE, C661:INDEX(C:C, ROW(C661)+SheetTable02[[#This Row],[Column1]]-1)))</f>
        <v/>
      </c>
    </row>
    <row r="662" spans="1:8" ht="57.6">
      <c r="A662" s="1" t="s">
        <v>307</v>
      </c>
      <c r="B662" s="1" t="s">
        <v>309</v>
      </c>
      <c r="C662" s="1" t="s">
        <v>469</v>
      </c>
      <c r="D662" s="1"/>
      <c r="E662" s="1"/>
      <c r="F662" s="1"/>
      <c r="G662" s="7">
        <f>COUNTIF(SheetTable02[Focal Document
Element],A662)</f>
        <v>12</v>
      </c>
      <c r="H662" s="7" t="str">
        <f>IF(A662=A661,"",_xlfn.TEXTJOIN(", ", TRUE, C662:INDEX(C:C, ROW(C662)+SheetTable02[[#This Row],[Column1]]-1)))</f>
        <v/>
      </c>
    </row>
    <row r="663" spans="1:8" ht="57.6">
      <c r="A663" s="1" t="s">
        <v>307</v>
      </c>
      <c r="B663" s="1" t="s">
        <v>309</v>
      </c>
      <c r="C663" s="1" t="s">
        <v>468</v>
      </c>
      <c r="D663" s="1"/>
      <c r="E663" s="1"/>
      <c r="F663" s="1"/>
      <c r="G663" s="7">
        <f>COUNTIF(SheetTable02[Focal Document
Element],A663)</f>
        <v>12</v>
      </c>
      <c r="H663" s="7" t="str">
        <f>IF(A663=A662,"",_xlfn.TEXTJOIN(", ", TRUE, C663:INDEX(C:C, ROW(C663)+SheetTable02[[#This Row],[Column1]]-1)))</f>
        <v/>
      </c>
    </row>
    <row r="664" spans="1:8" ht="57.6">
      <c r="A664" s="1" t="s">
        <v>307</v>
      </c>
      <c r="B664" s="1" t="s">
        <v>309</v>
      </c>
      <c r="C664" s="1" t="s">
        <v>467</v>
      </c>
      <c r="D664" s="1"/>
      <c r="E664" s="1"/>
      <c r="F664" s="1"/>
      <c r="G664" s="7">
        <f>COUNTIF(SheetTable02[Focal Document
Element],A664)</f>
        <v>12</v>
      </c>
      <c r="H664" s="7" t="str">
        <f>IF(A664=A663,"",_xlfn.TEXTJOIN(", ", TRUE, C664:INDEX(C:C, ROW(C664)+SheetTable02[[#This Row],[Column1]]-1)))</f>
        <v/>
      </c>
    </row>
    <row r="665" spans="1:8" ht="57.6">
      <c r="A665" s="1" t="s">
        <v>307</v>
      </c>
      <c r="B665" s="1" t="s">
        <v>309</v>
      </c>
      <c r="C665" s="1" t="s">
        <v>461</v>
      </c>
      <c r="D665" s="1"/>
      <c r="E665" s="1"/>
      <c r="F665" s="1"/>
      <c r="G665" s="7">
        <f>COUNTIF(SheetTable02[Focal Document
Element],A665)</f>
        <v>12</v>
      </c>
      <c r="H665" s="7" t="str">
        <f>IF(A665=A664,"",_xlfn.TEXTJOIN(", ", TRUE, C665:INDEX(C:C, ROW(C665)+SheetTable02[[#This Row],[Column1]]-1)))</f>
        <v/>
      </c>
    </row>
    <row r="666" spans="1:8" ht="57.6">
      <c r="A666" s="1" t="s">
        <v>307</v>
      </c>
      <c r="B666" s="1" t="s">
        <v>309</v>
      </c>
      <c r="C666" s="1" t="s">
        <v>466</v>
      </c>
      <c r="D666" s="1"/>
      <c r="E666" s="1"/>
      <c r="F666" s="1"/>
      <c r="G666" s="7">
        <f>COUNTIF(SheetTable02[Focal Document
Element],A666)</f>
        <v>12</v>
      </c>
      <c r="H666" s="7" t="str">
        <f>IF(A666=A665,"",_xlfn.TEXTJOIN(", ", TRUE, C666:INDEX(C:C, ROW(C666)+SheetTable02[[#This Row],[Column1]]-1)))</f>
        <v/>
      </c>
    </row>
    <row r="667" spans="1:8" ht="57.6">
      <c r="A667" s="1" t="s">
        <v>465</v>
      </c>
      <c r="B667" s="1" t="s">
        <v>464</v>
      </c>
      <c r="C667" s="1"/>
      <c r="D667" s="1"/>
      <c r="E667" s="1"/>
      <c r="F667" s="1"/>
      <c r="G667" s="7">
        <f>COUNTIF(SheetTable02[Focal Document
Element],A667)</f>
        <v>1</v>
      </c>
      <c r="H667" s="7" t="str">
        <f>IF(A667=A666,"",_xlfn.TEXTJOIN(", ", TRUE, C667:INDEX(C:C, ROW(C667)+SheetTable02[[#This Row],[Column1]]-1)))</f>
        <v/>
      </c>
    </row>
    <row r="668" spans="1:8" ht="43.2">
      <c r="A668" s="1" t="s">
        <v>311</v>
      </c>
      <c r="B668" s="1" t="s">
        <v>313</v>
      </c>
      <c r="C668" s="1" t="s">
        <v>463</v>
      </c>
      <c r="D668" s="1"/>
      <c r="E668" s="1"/>
      <c r="F668" s="1"/>
      <c r="G668" s="7">
        <f>COUNTIF(SheetTable02[Focal Document
Element],A668)</f>
        <v>4</v>
      </c>
      <c r="H668" s="7" t="str">
        <f>IF(A668=A667,"",_xlfn.TEXTJOIN(", ", TRUE, C668:INDEX(C:C, ROW(C668)+SheetTable02[[#This Row],[Column1]]-1)))</f>
        <v>AU-06, CA-07, IR-04, SI-04</v>
      </c>
    </row>
    <row r="669" spans="1:8" ht="43.2">
      <c r="A669" s="1" t="s">
        <v>311</v>
      </c>
      <c r="B669" s="1" t="s">
        <v>313</v>
      </c>
      <c r="C669" s="1" t="s">
        <v>462</v>
      </c>
      <c r="D669" s="1"/>
      <c r="E669" s="1"/>
      <c r="F669" s="1"/>
      <c r="G669" s="7">
        <f>COUNTIF(SheetTable02[Focal Document
Element],A669)</f>
        <v>4</v>
      </c>
      <c r="H669" s="7" t="str">
        <f>IF(A669=A668,"",_xlfn.TEXTJOIN(", ", TRUE, C669:INDEX(C:C, ROW(C669)+SheetTable02[[#This Row],[Column1]]-1)))</f>
        <v/>
      </c>
    </row>
    <row r="670" spans="1:8" ht="43.2">
      <c r="A670" s="1" t="s">
        <v>311</v>
      </c>
      <c r="B670" s="1" t="s">
        <v>313</v>
      </c>
      <c r="C670" s="1" t="s">
        <v>416</v>
      </c>
      <c r="D670" s="1"/>
      <c r="E670" s="1"/>
      <c r="F670" s="1"/>
      <c r="G670" s="7">
        <f>COUNTIF(SheetTable02[Focal Document
Element],A670)</f>
        <v>4</v>
      </c>
      <c r="H670" s="7" t="str">
        <f>IF(A670=A669,"",_xlfn.TEXTJOIN(", ", TRUE, C670:INDEX(C:C, ROW(C670)+SheetTable02[[#This Row],[Column1]]-1)))</f>
        <v/>
      </c>
    </row>
    <row r="671" spans="1:8" ht="43.2">
      <c r="A671" s="1" t="s">
        <v>311</v>
      </c>
      <c r="B671" s="1" t="s">
        <v>313</v>
      </c>
      <c r="C671" s="1" t="s">
        <v>461</v>
      </c>
      <c r="D671" s="1"/>
      <c r="E671" s="1"/>
      <c r="F671" s="1"/>
      <c r="G671" s="7">
        <f>COUNTIF(SheetTable02[Focal Document
Element],A671)</f>
        <v>4</v>
      </c>
      <c r="H671" s="7" t="str">
        <f>IF(A671=A670,"",_xlfn.TEXTJOIN(", ", TRUE, C671:INDEX(C:C, ROW(C671)+SheetTable02[[#This Row],[Column1]]-1)))</f>
        <v/>
      </c>
    </row>
    <row r="672" spans="1:8" ht="28.8">
      <c r="A672" s="1" t="s">
        <v>315</v>
      </c>
      <c r="B672" s="1" t="s">
        <v>317</v>
      </c>
      <c r="C672" s="1" t="s">
        <v>463</v>
      </c>
      <c r="D672" s="1"/>
      <c r="E672" s="1"/>
      <c r="F672" s="1"/>
      <c r="G672" s="7">
        <f>COUNTIF(SheetTable02[Focal Document
Element],A672)</f>
        <v>7</v>
      </c>
      <c r="H672" s="7" t="str">
        <f>IF(A672=A671,"",_xlfn.TEXTJOIN(", ", TRUE, C672:INDEX(C:C, ROW(C672)+SheetTable02[[#This Row],[Column1]]-1)))</f>
        <v>AU-06, CA-07, PM-16, IR-04, IR-05, IR-08, SI-04</v>
      </c>
    </row>
    <row r="673" spans="1:8" ht="28.8">
      <c r="A673" s="1" t="s">
        <v>315</v>
      </c>
      <c r="B673" s="1" t="s">
        <v>317</v>
      </c>
      <c r="C673" s="1" t="s">
        <v>462</v>
      </c>
      <c r="D673" s="1"/>
      <c r="E673" s="1"/>
      <c r="F673" s="1"/>
      <c r="G673" s="7">
        <f>COUNTIF(SheetTable02[Focal Document
Element],A673)</f>
        <v>7</v>
      </c>
      <c r="H673" s="7" t="str">
        <f>IF(A673=A672,"",_xlfn.TEXTJOIN(", ", TRUE, C673:INDEX(C:C, ROW(C673)+SheetTable02[[#This Row],[Column1]]-1)))</f>
        <v/>
      </c>
    </row>
    <row r="674" spans="1:8" ht="28.8">
      <c r="A674" s="1" t="s">
        <v>315</v>
      </c>
      <c r="B674" s="1" t="s">
        <v>317</v>
      </c>
      <c r="C674" s="1" t="s">
        <v>456</v>
      </c>
      <c r="D674" s="1"/>
      <c r="E674" s="1"/>
      <c r="F674" s="1"/>
      <c r="G674" s="7">
        <f>COUNTIF(SheetTable02[Focal Document
Element],A674)</f>
        <v>7</v>
      </c>
      <c r="H674" s="7" t="str">
        <f>IF(A674=A673,"",_xlfn.TEXTJOIN(", ", TRUE, C674:INDEX(C:C, ROW(C674)+SheetTable02[[#This Row],[Column1]]-1)))</f>
        <v/>
      </c>
    </row>
    <row r="675" spans="1:8" ht="28.8">
      <c r="A675" s="1" t="s">
        <v>315</v>
      </c>
      <c r="B675" s="1" t="s">
        <v>317</v>
      </c>
      <c r="C675" s="1" t="s">
        <v>416</v>
      </c>
      <c r="D675" s="1"/>
      <c r="E675" s="1"/>
      <c r="F675" s="1"/>
      <c r="G675" s="7">
        <f>COUNTIF(SheetTable02[Focal Document
Element],A675)</f>
        <v>7</v>
      </c>
      <c r="H675" s="7" t="str">
        <f>IF(A675=A674,"",_xlfn.TEXTJOIN(", ", TRUE, C675:INDEX(C:C, ROW(C675)+SheetTable02[[#This Row],[Column1]]-1)))</f>
        <v/>
      </c>
    </row>
    <row r="676" spans="1:8" ht="28.8">
      <c r="A676" s="1" t="s">
        <v>315</v>
      </c>
      <c r="B676" s="1" t="s">
        <v>317</v>
      </c>
      <c r="C676" s="1" t="s">
        <v>446</v>
      </c>
      <c r="D676" s="1"/>
      <c r="E676" s="1"/>
      <c r="F676" s="1"/>
      <c r="G676" s="7">
        <f>COUNTIF(SheetTable02[Focal Document
Element],A676)</f>
        <v>7</v>
      </c>
      <c r="H676" s="7" t="str">
        <f>IF(A676=A675,"",_xlfn.TEXTJOIN(", ", TRUE, C676:INDEX(C:C, ROW(C676)+SheetTable02[[#This Row],[Column1]]-1)))</f>
        <v/>
      </c>
    </row>
    <row r="677" spans="1:8" ht="28.8">
      <c r="A677" s="1" t="s">
        <v>315</v>
      </c>
      <c r="B677" s="1" t="s">
        <v>317</v>
      </c>
      <c r="C677" s="1" t="s">
        <v>422</v>
      </c>
      <c r="D677" s="1"/>
      <c r="E677" s="1"/>
      <c r="F677" s="1"/>
      <c r="G677" s="7">
        <f>COUNTIF(SheetTable02[Focal Document
Element],A677)</f>
        <v>7</v>
      </c>
      <c r="H677" s="7" t="str">
        <f>IF(A677=A676,"",_xlfn.TEXTJOIN(", ", TRUE, C677:INDEX(C:C, ROW(C677)+SheetTable02[[#This Row],[Column1]]-1)))</f>
        <v/>
      </c>
    </row>
    <row r="678" spans="1:8" ht="28.8">
      <c r="A678" s="1" t="s">
        <v>315</v>
      </c>
      <c r="B678" s="1" t="s">
        <v>317</v>
      </c>
      <c r="C678" s="1" t="s">
        <v>461</v>
      </c>
      <c r="D678" s="1"/>
      <c r="E678" s="1"/>
      <c r="F678" s="1"/>
      <c r="G678" s="7">
        <f>COUNTIF(SheetTable02[Focal Document
Element],A678)</f>
        <v>7</v>
      </c>
      <c r="H678" s="7" t="str">
        <f>IF(A678=A677,"",_xlfn.TEXTJOIN(", ", TRUE, C678:INDEX(C:C, ROW(C678)+SheetTable02[[#This Row],[Column1]]-1)))</f>
        <v/>
      </c>
    </row>
    <row r="679" spans="1:8" ht="28.8">
      <c r="A679" s="1" t="s">
        <v>319</v>
      </c>
      <c r="B679" s="1" t="s">
        <v>321</v>
      </c>
      <c r="C679" s="1" t="s">
        <v>426</v>
      </c>
      <c r="D679" s="1"/>
      <c r="E679" s="1"/>
      <c r="F679" s="1"/>
      <c r="G679" s="7">
        <f>COUNTIF(SheetTable02[Focal Document
Element],A679)</f>
        <v>5</v>
      </c>
      <c r="H679" s="7" t="str">
        <f>IF(A679=A678,"",_xlfn.TEXTJOIN(", ", TRUE, C679:INDEX(C:C, ROW(C679)+SheetTable02[[#This Row],[Column1]]-1)))</f>
        <v>PM-09, PM-11, PM-18, PM-28, PM-30</v>
      </c>
    </row>
    <row r="680" spans="1:8" ht="28.8">
      <c r="A680" s="1" t="s">
        <v>319</v>
      </c>
      <c r="B680" s="1" t="s">
        <v>321</v>
      </c>
      <c r="C680" s="1" t="s">
        <v>425</v>
      </c>
      <c r="D680" s="1"/>
      <c r="E680" s="1"/>
      <c r="F680" s="1"/>
      <c r="G680" s="7">
        <f>COUNTIF(SheetTable02[Focal Document
Element],A680)</f>
        <v>5</v>
      </c>
      <c r="H680" s="7" t="str">
        <f>IF(A680=A679,"",_xlfn.TEXTJOIN(", ", TRUE, C680:INDEX(C:C, ROW(C680)+SheetTable02[[#This Row],[Column1]]-1)))</f>
        <v/>
      </c>
    </row>
    <row r="681" spans="1:8" ht="28.8">
      <c r="A681" s="1" t="s">
        <v>319</v>
      </c>
      <c r="B681" s="1" t="s">
        <v>321</v>
      </c>
      <c r="C681" s="1" t="s">
        <v>460</v>
      </c>
      <c r="D681" s="1"/>
      <c r="E681" s="1"/>
      <c r="F681" s="1"/>
      <c r="G681" s="7">
        <f>COUNTIF(SheetTable02[Focal Document
Element],A681)</f>
        <v>5</v>
      </c>
      <c r="H681" s="7" t="str">
        <f>IF(A681=A680,"",_xlfn.TEXTJOIN(", ", TRUE, C681:INDEX(C:C, ROW(C681)+SheetTable02[[#This Row],[Column1]]-1)))</f>
        <v/>
      </c>
    </row>
    <row r="682" spans="1:8" ht="28.8">
      <c r="A682" s="1" t="s">
        <v>319</v>
      </c>
      <c r="B682" s="1" t="s">
        <v>321</v>
      </c>
      <c r="C682" s="1" t="s">
        <v>459</v>
      </c>
      <c r="D682" s="1"/>
      <c r="E682" s="1"/>
      <c r="F682" s="1"/>
      <c r="G682" s="7">
        <f>COUNTIF(SheetTable02[Focal Document
Element],A682)</f>
        <v>5</v>
      </c>
      <c r="H682" s="7" t="str">
        <f>IF(A682=A681,"",_xlfn.TEXTJOIN(", ", TRUE, C682:INDEX(C:C, ROW(C682)+SheetTable02[[#This Row],[Column1]]-1)))</f>
        <v/>
      </c>
    </row>
    <row r="683" spans="1:8" ht="28.8">
      <c r="A683" s="1" t="s">
        <v>319</v>
      </c>
      <c r="B683" s="1" t="s">
        <v>321</v>
      </c>
      <c r="C683" s="1" t="s">
        <v>458</v>
      </c>
      <c r="D683" s="1"/>
      <c r="E683" s="1"/>
      <c r="F683" s="1"/>
      <c r="G683" s="7">
        <f>COUNTIF(SheetTable02[Focal Document
Element],A683)</f>
        <v>5</v>
      </c>
      <c r="H683" s="7" t="str">
        <f>IF(A683=A682,"",_xlfn.TEXTJOIN(", ", TRUE, C683:INDEX(C:C, ROW(C683)+SheetTable02[[#This Row],[Column1]]-1)))</f>
        <v/>
      </c>
    </row>
    <row r="684" spans="1:8" ht="28.8">
      <c r="A684" s="1" t="s">
        <v>323</v>
      </c>
      <c r="B684" s="1" t="s">
        <v>325</v>
      </c>
      <c r="C684" s="1" t="s">
        <v>416</v>
      </c>
      <c r="D684" s="1"/>
      <c r="E684" s="1"/>
      <c r="F684" s="1"/>
      <c r="G684" s="7">
        <f>COUNTIF(SheetTable02[Focal Document
Element],A684)</f>
        <v>5</v>
      </c>
      <c r="H684" s="7" t="str">
        <f>IF(A684=A683,"",_xlfn.TEXTJOIN(", ", TRUE, C684:INDEX(C:C, ROW(C684)+SheetTable02[[#This Row],[Column1]]-1)))</f>
        <v>IR-04, PM-15, PM-16, RA-04, RA-10</v>
      </c>
    </row>
    <row r="685" spans="1:8" ht="28.8">
      <c r="A685" s="1" t="s">
        <v>323</v>
      </c>
      <c r="B685" s="1" t="s">
        <v>325</v>
      </c>
      <c r="C685" s="1" t="s">
        <v>457</v>
      </c>
      <c r="D685" s="1"/>
      <c r="E685" s="1"/>
      <c r="F685" s="1"/>
      <c r="G685" s="7">
        <f>COUNTIF(SheetTable02[Focal Document
Element],A685)</f>
        <v>5</v>
      </c>
      <c r="H685" s="7" t="str">
        <f>IF(A685=A684,"",_xlfn.TEXTJOIN(", ", TRUE, C685:INDEX(C:C, ROW(C685)+SheetTable02[[#This Row],[Column1]]-1)))</f>
        <v/>
      </c>
    </row>
    <row r="686" spans="1:8" ht="28.8">
      <c r="A686" s="1" t="s">
        <v>323</v>
      </c>
      <c r="B686" s="1" t="s">
        <v>325</v>
      </c>
      <c r="C686" s="1" t="s">
        <v>456</v>
      </c>
      <c r="D686" s="1"/>
      <c r="E686" s="1"/>
      <c r="F686" s="1"/>
      <c r="G686" s="7">
        <f>COUNTIF(SheetTable02[Focal Document
Element],A686)</f>
        <v>5</v>
      </c>
      <c r="H686" s="7" t="str">
        <f>IF(A686=A685,"",_xlfn.TEXTJOIN(", ", TRUE, C686:INDEX(C:C, ROW(C686)+SheetTable02[[#This Row],[Column1]]-1)))</f>
        <v/>
      </c>
    </row>
    <row r="687" spans="1:8" ht="28.8">
      <c r="A687" s="1" t="s">
        <v>323</v>
      </c>
      <c r="B687" s="1" t="s">
        <v>325</v>
      </c>
      <c r="C687" s="1" t="s">
        <v>455</v>
      </c>
      <c r="D687" s="1"/>
      <c r="E687" s="1"/>
      <c r="F687" s="1"/>
      <c r="G687" s="7">
        <f>COUNTIF(SheetTable02[Focal Document
Element],A687)</f>
        <v>5</v>
      </c>
      <c r="H687" s="7" t="str">
        <f>IF(A687=A686,"",_xlfn.TEXTJOIN(", ", TRUE, C687:INDEX(C:C, ROW(C687)+SheetTable02[[#This Row],[Column1]]-1)))</f>
        <v/>
      </c>
    </row>
    <row r="688" spans="1:8" ht="28.8">
      <c r="A688" s="1" t="s">
        <v>323</v>
      </c>
      <c r="B688" s="1" t="s">
        <v>325</v>
      </c>
      <c r="C688" s="1" t="s">
        <v>453</v>
      </c>
      <c r="D688" s="1"/>
      <c r="E688" s="1"/>
      <c r="F688" s="1"/>
      <c r="G688" s="7">
        <f>COUNTIF(SheetTable02[Focal Document
Element],A688)</f>
        <v>5</v>
      </c>
      <c r="H688" s="7" t="str">
        <f>IF(A688=A687,"",_xlfn.TEXTJOIN(", ", TRUE, C688:INDEX(C:C, ROW(C688)+SheetTable02[[#This Row],[Column1]]-1)))</f>
        <v/>
      </c>
    </row>
    <row r="689" spans="1:8" ht="43.2">
      <c r="A689" s="1" t="s">
        <v>327</v>
      </c>
      <c r="B689" s="1" t="s">
        <v>328</v>
      </c>
      <c r="C689" s="1" t="s">
        <v>454</v>
      </c>
      <c r="D689" s="1"/>
      <c r="E689" s="1"/>
      <c r="F689" s="1"/>
      <c r="G689" s="7">
        <f>COUNTIF(SheetTable02[Focal Document
Element],A689)</f>
        <v>3</v>
      </c>
      <c r="H689" s="7" t="str">
        <f>IF(A689=A688,"",_xlfn.TEXTJOIN(", ", TRUE, C689:INDEX(C:C, ROW(C689)+SheetTable02[[#This Row],[Column1]]-1)))</f>
        <v>PM-16
, RA-03, RA-10</v>
      </c>
    </row>
    <row r="690" spans="1:8" ht="43.2">
      <c r="A690" s="1" t="s">
        <v>327</v>
      </c>
      <c r="B690" s="1" t="s">
        <v>328</v>
      </c>
      <c r="C690" s="1" t="s">
        <v>442</v>
      </c>
      <c r="D690" s="1"/>
      <c r="E690" s="1"/>
      <c r="F690" s="1"/>
      <c r="G690" s="7">
        <f>COUNTIF(SheetTable02[Focal Document
Element],A690)</f>
        <v>3</v>
      </c>
      <c r="H690" s="7" t="str">
        <f>IF(A690=A689,"",_xlfn.TEXTJOIN(", ", TRUE, C690:INDEX(C:C, ROW(C690)+SheetTable02[[#This Row],[Column1]]-1)))</f>
        <v/>
      </c>
    </row>
    <row r="691" spans="1:8" ht="43.2">
      <c r="A691" s="1" t="s">
        <v>327</v>
      </c>
      <c r="B691" s="1" t="s">
        <v>328</v>
      </c>
      <c r="C691" t="s">
        <v>453</v>
      </c>
      <c r="G691" s="7">
        <f>COUNTIF(SheetTable02[Focal Document
Element],A691)</f>
        <v>3</v>
      </c>
      <c r="H691" s="7" t="str">
        <f>IF(A691=A690,"",_xlfn.TEXTJOIN(", ", TRUE, C691:INDEX(C:C, ROW(C691)+SheetTable02[[#This Row],[Column1]]-1)))</f>
        <v/>
      </c>
    </row>
    <row r="692" spans="1:8" ht="43.2">
      <c r="A692" s="1" t="s">
        <v>330</v>
      </c>
      <c r="B692" s="1" t="s">
        <v>332</v>
      </c>
      <c r="C692" s="1" t="s">
        <v>452</v>
      </c>
      <c r="D692" s="1"/>
      <c r="E692" s="1"/>
      <c r="F692" s="1"/>
      <c r="G692" s="7">
        <f>COUNTIF(SheetTable02[Focal Document
Element],A692)</f>
        <v>2</v>
      </c>
      <c r="H692" s="7" t="str">
        <f>IF(A692=A691,"",_xlfn.TEXTJOIN(", ", TRUE, C692:INDEX(C:C, ROW(C692)+SheetTable02[[#This Row],[Column1]]-1)))</f>
        <v>IR-04
, IR-08</v>
      </c>
    </row>
    <row r="693" spans="1:8" ht="43.2">
      <c r="A693" s="1" t="s">
        <v>330</v>
      </c>
      <c r="B693" s="1" t="s">
        <v>332</v>
      </c>
      <c r="C693" s="1" t="s">
        <v>422</v>
      </c>
      <c r="D693" s="1"/>
      <c r="E693" s="1"/>
      <c r="F693" s="1"/>
      <c r="G693" s="7">
        <f>COUNTIF(SheetTable02[Focal Document
Element],A693)</f>
        <v>2</v>
      </c>
      <c r="H693" s="7" t="str">
        <f>IF(A693=A692,"",_xlfn.TEXTJOIN(", ", TRUE, C693:INDEX(C:C, ROW(C693)+SheetTable02[[#This Row],[Column1]]-1)))</f>
        <v/>
      </c>
    </row>
    <row r="694" spans="1:8" ht="28.8">
      <c r="A694" s="1" t="s">
        <v>451</v>
      </c>
      <c r="B694" s="1" t="s">
        <v>450</v>
      </c>
      <c r="C694" s="1"/>
      <c r="D694" s="1"/>
      <c r="E694" s="1"/>
      <c r="F694" s="1"/>
      <c r="G694" s="7">
        <f>COUNTIF(SheetTable02[Focal Document
Element],A694)</f>
        <v>1</v>
      </c>
      <c r="H694" s="7" t="str">
        <f>IF(A694=A693,"",_xlfn.TEXTJOIN(", ", TRUE, C694:INDEX(C:C, ROW(C694)+SheetTable02[[#This Row],[Column1]]-1)))</f>
        <v/>
      </c>
    </row>
    <row r="695" spans="1:8" ht="28.8">
      <c r="A695" s="1" t="s">
        <v>449</v>
      </c>
      <c r="B695" s="1" t="s">
        <v>448</v>
      </c>
      <c r="C695" s="1" t="s">
        <v>416</v>
      </c>
      <c r="D695" s="1"/>
      <c r="E695" s="1"/>
      <c r="F695" s="1"/>
      <c r="G695" s="7">
        <f>COUNTIF(SheetTable02[Focal Document
Element],A695)</f>
        <v>4</v>
      </c>
      <c r="H695" s="7" t="str">
        <f>IF(A695=A694,"",_xlfn.TEXTJOIN(", ", TRUE, C695:INDEX(C:C, ROW(C695)+SheetTable02[[#This Row],[Column1]]-1)))</f>
        <v>IR-04, IR-07, IR-08, IR-09</v>
      </c>
    </row>
    <row r="696" spans="1:8" ht="28.8">
      <c r="A696" s="1" t="s">
        <v>449</v>
      </c>
      <c r="B696" s="1" t="s">
        <v>448</v>
      </c>
      <c r="C696" s="1" t="s">
        <v>438</v>
      </c>
      <c r="D696" s="1"/>
      <c r="E696" s="1"/>
      <c r="F696" s="1"/>
      <c r="G696" s="7">
        <f>COUNTIF(SheetTable02[Focal Document
Element],A696)</f>
        <v>4</v>
      </c>
      <c r="H696" s="7" t="str">
        <f>IF(A696=A695,"",_xlfn.TEXTJOIN(", ", TRUE, C696:INDEX(C:C, ROW(C696)+SheetTable02[[#This Row],[Column1]]-1)))</f>
        <v/>
      </c>
    </row>
    <row r="697" spans="1:8" ht="28.8">
      <c r="A697" s="1" t="s">
        <v>449</v>
      </c>
      <c r="B697" s="1" t="s">
        <v>448</v>
      </c>
      <c r="C697" s="1" t="s">
        <v>422</v>
      </c>
      <c r="D697" s="1"/>
      <c r="E697" s="1"/>
      <c r="F697" s="1"/>
      <c r="G697" s="7">
        <f>COUNTIF(SheetTable02[Focal Document
Element],A697)</f>
        <v>4</v>
      </c>
      <c r="H697" s="7" t="str">
        <f>IF(A697=A696,"",_xlfn.TEXTJOIN(", ", TRUE, C697:INDEX(C:C, ROW(C697)+SheetTable02[[#This Row],[Column1]]-1)))</f>
        <v/>
      </c>
    </row>
    <row r="698" spans="1:8" ht="28.8">
      <c r="A698" s="1" t="s">
        <v>449</v>
      </c>
      <c r="B698" s="1" t="s">
        <v>448</v>
      </c>
      <c r="C698" s="1" t="s">
        <v>447</v>
      </c>
      <c r="D698" s="1"/>
      <c r="E698" s="1"/>
      <c r="F698" s="1"/>
      <c r="G698" s="7">
        <f>COUNTIF(SheetTable02[Focal Document
Element],A698)</f>
        <v>4</v>
      </c>
      <c r="H698" s="7" t="str">
        <f>IF(A698=A697,"",_xlfn.TEXTJOIN(", ", TRUE, C698:INDEX(C:C, ROW(C698)+SheetTable02[[#This Row],[Column1]]-1)))</f>
        <v/>
      </c>
    </row>
    <row r="699" spans="1:8" ht="43.2">
      <c r="A699" s="1" t="s">
        <v>334</v>
      </c>
      <c r="B699" s="1" t="s">
        <v>336</v>
      </c>
      <c r="C699" s="1" t="s">
        <v>419</v>
      </c>
      <c r="D699" s="1"/>
      <c r="E699" s="1"/>
      <c r="F699" s="1"/>
      <c r="G699" s="7">
        <f>COUNTIF(SheetTable02[Focal Document
Element],A699)</f>
        <v>5</v>
      </c>
      <c r="H699" s="7" t="str">
        <f>IF(A699=A698,"",_xlfn.TEXTJOIN(", ", TRUE, C699:INDEX(C:C, ROW(C699)+SheetTable02[[#This Row],[Column1]]-1)))</f>
        <v>IR-06, IR-07, IR-08, SR-03, SR-08</v>
      </c>
    </row>
    <row r="700" spans="1:8" ht="43.2">
      <c r="A700" s="1" t="s">
        <v>334</v>
      </c>
      <c r="B700" s="1" t="s">
        <v>336</v>
      </c>
      <c r="C700" s="1" t="s">
        <v>438</v>
      </c>
      <c r="D700" s="1"/>
      <c r="E700" s="1"/>
      <c r="F700" s="1"/>
      <c r="G700" s="7">
        <f>COUNTIF(SheetTable02[Focal Document
Element],A700)</f>
        <v>5</v>
      </c>
      <c r="H700" s="7" t="str">
        <f>IF(A700=A699,"",_xlfn.TEXTJOIN(", ", TRUE, C700:INDEX(C:C, ROW(C700)+SheetTable02[[#This Row],[Column1]]-1)))</f>
        <v/>
      </c>
    </row>
    <row r="701" spans="1:8" ht="43.2">
      <c r="A701" s="1" t="s">
        <v>334</v>
      </c>
      <c r="B701" s="1" t="s">
        <v>336</v>
      </c>
      <c r="C701" s="1" t="s">
        <v>422</v>
      </c>
      <c r="D701" s="1"/>
      <c r="E701" s="1"/>
      <c r="F701" s="1"/>
      <c r="G701" s="7">
        <f>COUNTIF(SheetTable02[Focal Document
Element],A701)</f>
        <v>5</v>
      </c>
      <c r="H701" s="7" t="str">
        <f>IF(A701=A700,"",_xlfn.TEXTJOIN(", ", TRUE, C701:INDEX(C:C, ROW(C701)+SheetTable02[[#This Row],[Column1]]-1)))</f>
        <v/>
      </c>
    </row>
    <row r="702" spans="1:8" ht="43.2">
      <c r="A702" s="1" t="s">
        <v>334</v>
      </c>
      <c r="B702" s="1" t="s">
        <v>336</v>
      </c>
      <c r="C702" s="1" t="s">
        <v>437</v>
      </c>
      <c r="D702" s="1"/>
      <c r="E702" s="1"/>
      <c r="F702" s="1"/>
      <c r="G702" s="7">
        <f>COUNTIF(SheetTable02[Focal Document
Element],A702)</f>
        <v>5</v>
      </c>
      <c r="H702" s="7" t="str">
        <f>IF(A702=A701,"",_xlfn.TEXTJOIN(", ", TRUE, C702:INDEX(C:C, ROW(C702)+SheetTable02[[#This Row],[Column1]]-1)))</f>
        <v/>
      </c>
    </row>
    <row r="703" spans="1:8" ht="43.2">
      <c r="A703" s="1" t="s">
        <v>334</v>
      </c>
      <c r="B703" s="1" t="s">
        <v>336</v>
      </c>
      <c r="C703" s="1" t="s">
        <v>418</v>
      </c>
      <c r="D703" s="1"/>
      <c r="E703" s="1"/>
      <c r="F703" s="1"/>
      <c r="G703" s="7">
        <f>COUNTIF(SheetTable02[Focal Document
Element],A703)</f>
        <v>5</v>
      </c>
      <c r="H703" s="7" t="str">
        <f>IF(A703=A702,"",_xlfn.TEXTJOIN(", ", TRUE, C703:INDEX(C:C, ROW(C703)+SheetTable02[[#This Row],[Column1]]-1)))</f>
        <v/>
      </c>
    </row>
    <row r="704" spans="1:8" ht="28.8">
      <c r="A704" s="1" t="s">
        <v>338</v>
      </c>
      <c r="B704" s="1" t="s">
        <v>340</v>
      </c>
      <c r="C704" s="1" t="s">
        <v>416</v>
      </c>
      <c r="D704" s="1"/>
      <c r="E704" s="1"/>
      <c r="F704" s="1"/>
      <c r="G704" s="7">
        <f>COUNTIF(SheetTable02[Focal Document
Element],A704)</f>
        <v>3</v>
      </c>
      <c r="H704" s="7" t="str">
        <f>IF(A704=A703,"",_xlfn.TEXTJOIN(", ", TRUE, C704:INDEX(C:C, ROW(C704)+SheetTable02[[#This Row],[Column1]]-1)))</f>
        <v>IR-04, IR-05, IR-06</v>
      </c>
    </row>
    <row r="705" spans="1:8" ht="28.8">
      <c r="A705" s="1" t="s">
        <v>338</v>
      </c>
      <c r="B705" s="1" t="s">
        <v>340</v>
      </c>
      <c r="C705" s="1" t="s">
        <v>446</v>
      </c>
      <c r="D705" s="1"/>
      <c r="E705" s="1"/>
      <c r="F705" s="1"/>
      <c r="G705" s="7">
        <f>COUNTIF(SheetTable02[Focal Document
Element],A705)</f>
        <v>3</v>
      </c>
      <c r="H705" s="7" t="str">
        <f>IF(A705=A704,"",_xlfn.TEXTJOIN(", ", TRUE, C705:INDEX(C:C, ROW(C705)+SheetTable02[[#This Row],[Column1]]-1)))</f>
        <v/>
      </c>
    </row>
    <row r="706" spans="1:8" ht="28.8">
      <c r="A706" s="1" t="s">
        <v>338</v>
      </c>
      <c r="B706" s="1" t="s">
        <v>340</v>
      </c>
      <c r="C706" s="1" t="s">
        <v>419</v>
      </c>
      <c r="D706" s="1"/>
      <c r="E706" s="1"/>
      <c r="F706" s="1"/>
      <c r="G706" s="7">
        <f>COUNTIF(SheetTable02[Focal Document
Element],A706)</f>
        <v>3</v>
      </c>
      <c r="H706" s="7" t="str">
        <f>IF(A706=A705,"",_xlfn.TEXTJOIN(", ", TRUE, C706:INDEX(C:C, ROW(C706)+SheetTable02[[#This Row],[Column1]]-1)))</f>
        <v/>
      </c>
    </row>
    <row r="707" spans="1:8">
      <c r="A707" s="1" t="s">
        <v>342</v>
      </c>
      <c r="B707" s="1" t="s">
        <v>344</v>
      </c>
      <c r="C707" s="1" t="s">
        <v>416</v>
      </c>
      <c r="D707" s="1"/>
      <c r="E707" s="1"/>
      <c r="F707" s="1"/>
      <c r="G707" s="7">
        <f>COUNTIF(SheetTable02[Focal Document
Element],A707)</f>
        <v>3</v>
      </c>
      <c r="H707" s="7" t="str">
        <f>IF(A707=A706,"",_xlfn.TEXTJOIN(", ", TRUE, C707:INDEX(C:C, ROW(C707)+SheetTable02[[#This Row],[Column1]]-1)))</f>
        <v>IR-04, IR-05, IR-06</v>
      </c>
    </row>
    <row r="708" spans="1:8">
      <c r="A708" s="1" t="s">
        <v>342</v>
      </c>
      <c r="B708" s="1" t="s">
        <v>344</v>
      </c>
      <c r="C708" s="1" t="s">
        <v>446</v>
      </c>
      <c r="D708" s="1"/>
      <c r="E708" s="1"/>
      <c r="F708" s="1"/>
      <c r="G708" s="7">
        <f>COUNTIF(SheetTable02[Focal Document
Element],A708)</f>
        <v>3</v>
      </c>
      <c r="H708" s="7" t="str">
        <f>IF(A708=A707,"",_xlfn.TEXTJOIN(", ", TRUE, C708:INDEX(C:C, ROW(C708)+SheetTable02[[#This Row],[Column1]]-1)))</f>
        <v/>
      </c>
    </row>
    <row r="709" spans="1:8">
      <c r="A709" s="1" t="s">
        <v>342</v>
      </c>
      <c r="B709" s="1" t="s">
        <v>344</v>
      </c>
      <c r="C709" s="1" t="s">
        <v>419</v>
      </c>
      <c r="D709" s="1"/>
      <c r="E709" s="1"/>
      <c r="F709" s="1"/>
      <c r="G709" s="7">
        <f>COUNTIF(SheetTable02[Focal Document
Element],A709)</f>
        <v>3</v>
      </c>
      <c r="H709" s="7" t="str">
        <f>IF(A709=A708,"",_xlfn.TEXTJOIN(", ", TRUE, C709:INDEX(C:C, ROW(C709)+SheetTable02[[#This Row],[Column1]]-1)))</f>
        <v/>
      </c>
    </row>
    <row r="710" spans="1:8" ht="28.8">
      <c r="A710" s="1" t="s">
        <v>346</v>
      </c>
      <c r="B710" s="1" t="s">
        <v>348</v>
      </c>
      <c r="C710" s="1" t="s">
        <v>416</v>
      </c>
      <c r="D710" s="1"/>
      <c r="E710" s="1"/>
      <c r="F710" s="1"/>
      <c r="G710" s="7">
        <f>COUNTIF(SheetTable02[Focal Document
Element],A710)</f>
        <v>4</v>
      </c>
      <c r="H710" s="7" t="str">
        <f>IF(A710=A709,"",_xlfn.TEXTJOIN(", ", TRUE, C710:INDEX(C:C, ROW(C710)+SheetTable02[[#This Row],[Column1]]-1)))</f>
        <v>IR-04, IR-05, IR-06, IR-07</v>
      </c>
    </row>
    <row r="711" spans="1:8" ht="28.8">
      <c r="A711" s="1" t="s">
        <v>346</v>
      </c>
      <c r="B711" s="1" t="s">
        <v>348</v>
      </c>
      <c r="C711" s="1" t="s">
        <v>446</v>
      </c>
      <c r="D711" s="1"/>
      <c r="E711" s="1"/>
      <c r="F711" s="1"/>
      <c r="G711" s="7">
        <f>COUNTIF(SheetTable02[Focal Document
Element],A711)</f>
        <v>4</v>
      </c>
      <c r="H711" s="7" t="str">
        <f>IF(A711=A710,"",_xlfn.TEXTJOIN(", ", TRUE, C711:INDEX(C:C, ROW(C711)+SheetTable02[[#This Row],[Column1]]-1)))</f>
        <v/>
      </c>
    </row>
    <row r="712" spans="1:8" ht="28.8">
      <c r="A712" s="1" t="s">
        <v>346</v>
      </c>
      <c r="B712" s="1" t="s">
        <v>348</v>
      </c>
      <c r="C712" s="1" t="s">
        <v>419</v>
      </c>
      <c r="D712" s="1"/>
      <c r="E712" s="1"/>
      <c r="F712" s="1"/>
      <c r="G712" s="7">
        <f>COUNTIF(SheetTable02[Focal Document
Element],A712)</f>
        <v>4</v>
      </c>
      <c r="H712" s="7" t="str">
        <f>IF(A712=A711,"",_xlfn.TEXTJOIN(", ", TRUE, C712:INDEX(C:C, ROW(C712)+SheetTable02[[#This Row],[Column1]]-1)))</f>
        <v/>
      </c>
    </row>
    <row r="713" spans="1:8" ht="28.8">
      <c r="A713" s="1" t="s">
        <v>346</v>
      </c>
      <c r="B713" s="1" t="s">
        <v>348</v>
      </c>
      <c r="C713" s="1" t="s">
        <v>438</v>
      </c>
      <c r="D713" s="1"/>
      <c r="E713" s="1"/>
      <c r="F713" s="1"/>
      <c r="G713" s="7">
        <f>COUNTIF(SheetTable02[Focal Document
Element],A713)</f>
        <v>4</v>
      </c>
      <c r="H713" s="7" t="str">
        <f>IF(A713=A712,"",_xlfn.TEXTJOIN(", ", TRUE, C713:INDEX(C:C, ROW(C713)+SheetTable02[[#This Row],[Column1]]-1)))</f>
        <v/>
      </c>
    </row>
    <row r="714" spans="1:8" ht="28.8">
      <c r="A714" s="1" t="s">
        <v>350</v>
      </c>
      <c r="B714" s="1" t="s">
        <v>351</v>
      </c>
      <c r="C714" s="1" t="s">
        <v>416</v>
      </c>
      <c r="D714" s="1"/>
      <c r="E714" s="1"/>
      <c r="F714" s="1"/>
      <c r="G714" s="7">
        <f>COUNTIF(SheetTable02[Focal Document
Element],A714)</f>
        <v>2</v>
      </c>
      <c r="H714" s="7" t="str">
        <f>IF(A714=A713,"",_xlfn.TEXTJOIN(", ", TRUE, C714:INDEX(C:C, ROW(C714)+SheetTable02[[#This Row],[Column1]]-1)))</f>
        <v>IR-04, IR-08</v>
      </c>
    </row>
    <row r="715" spans="1:8" ht="28.8">
      <c r="A715" s="1" t="s">
        <v>350</v>
      </c>
      <c r="B715" s="1" t="s">
        <v>351</v>
      </c>
      <c r="C715" s="1" t="s">
        <v>422</v>
      </c>
      <c r="D715" s="1"/>
      <c r="E715" s="1"/>
      <c r="F715" s="1"/>
      <c r="G715" s="7">
        <f>COUNTIF(SheetTable02[Focal Document
Element],A715)</f>
        <v>2</v>
      </c>
      <c r="H715" s="7" t="str">
        <f>IF(A715=A714,"",_xlfn.TEXTJOIN(", ", TRUE, C715:INDEX(C:C, ROW(C715)+SheetTable02[[#This Row],[Column1]]-1)))</f>
        <v/>
      </c>
    </row>
    <row r="716" spans="1:8" ht="43.2">
      <c r="A716" s="1" t="s">
        <v>445</v>
      </c>
      <c r="B716" s="1" t="s">
        <v>444</v>
      </c>
      <c r="C716" s="1"/>
      <c r="D716" s="1"/>
      <c r="E716" s="1"/>
      <c r="F716" s="1"/>
      <c r="G716" s="7">
        <f>COUNTIF(SheetTable02[Focal Document
Element],A716)</f>
        <v>1</v>
      </c>
      <c r="H716" s="7" t="str">
        <f>IF(A716=A715,"",_xlfn.TEXTJOIN(", ", TRUE, C716:INDEX(C:C, ROW(C716)+SheetTable02[[#This Row],[Column1]]-1)))</f>
        <v/>
      </c>
    </row>
    <row r="717" spans="1:8" ht="43.2">
      <c r="A717" s="1" t="s">
        <v>353</v>
      </c>
      <c r="B717" s="1" t="s">
        <v>355</v>
      </c>
      <c r="C717" s="1" t="s">
        <v>443</v>
      </c>
      <c r="D717" s="1"/>
      <c r="E717" s="1"/>
      <c r="F717" s="1"/>
      <c r="G717" s="7">
        <f>COUNTIF(SheetTable02[Focal Document
Element],A717)</f>
        <v>2</v>
      </c>
      <c r="H717" s="7" t="str">
        <f>IF(A717=A716,"",_xlfn.TEXTJOIN(", ", TRUE, C717:INDEX(C:C, ROW(C717)+SheetTable02[[#This Row],[Column1]]-1)))</f>
        <v>AU-07, IR-04</v>
      </c>
    </row>
    <row r="718" spans="1:8" ht="43.2">
      <c r="A718" s="1" t="s">
        <v>353</v>
      </c>
      <c r="B718" s="1" t="s">
        <v>355</v>
      </c>
      <c r="C718" s="1" t="s">
        <v>416</v>
      </c>
      <c r="D718" s="1"/>
      <c r="E718" s="1"/>
      <c r="F718" s="1"/>
      <c r="G718" s="7">
        <f>COUNTIF(SheetTable02[Focal Document
Element],A718)</f>
        <v>2</v>
      </c>
      <c r="H718" s="7" t="str">
        <f>IF(A718=A717,"",_xlfn.TEXTJOIN(", ", TRUE, C718:INDEX(C:C, ROW(C718)+SheetTable02[[#This Row],[Column1]]-1)))</f>
        <v/>
      </c>
    </row>
    <row r="719" spans="1:8" ht="57.6">
      <c r="A719" s="1" t="s">
        <v>357</v>
      </c>
      <c r="B719" s="1" t="s">
        <v>358</v>
      </c>
      <c r="C719" s="1" t="s">
        <v>443</v>
      </c>
      <c r="D719" s="1"/>
      <c r="E719" s="1"/>
      <c r="F719" s="1"/>
      <c r="G719" s="7">
        <f>COUNTIF(SheetTable02[Focal Document
Element],A719)</f>
        <v>3</v>
      </c>
      <c r="H719" s="7" t="str">
        <f>IF(A719=A718,"",_xlfn.TEXTJOIN(", ", TRUE, C719:INDEX(C:C, ROW(C719)+SheetTable02[[#This Row],[Column1]]-1)))</f>
        <v>AU-07, IR-04, IR-06</v>
      </c>
    </row>
    <row r="720" spans="1:8" ht="57.6">
      <c r="A720" s="1" t="s">
        <v>357</v>
      </c>
      <c r="B720" s="1" t="s">
        <v>358</v>
      </c>
      <c r="C720" s="1" t="s">
        <v>416</v>
      </c>
      <c r="D720" s="1"/>
      <c r="E720" s="1"/>
      <c r="F720" s="1"/>
      <c r="G720" s="7">
        <f>COUNTIF(SheetTable02[Focal Document
Element],A720)</f>
        <v>3</v>
      </c>
      <c r="H720" s="7" t="str">
        <f>IF(A720=A719,"",_xlfn.TEXTJOIN(", ", TRUE, C720:INDEX(C:C, ROW(C720)+SheetTable02[[#This Row],[Column1]]-1)))</f>
        <v/>
      </c>
    </row>
    <row r="721" spans="1:8" ht="57.6">
      <c r="A721" s="1" t="s">
        <v>357</v>
      </c>
      <c r="B721" s="1" t="s">
        <v>358</v>
      </c>
      <c r="C721" s="1" t="s">
        <v>419</v>
      </c>
      <c r="D721" s="1"/>
      <c r="E721" s="1"/>
      <c r="F721" s="1"/>
      <c r="G721" s="7">
        <f>COUNTIF(SheetTable02[Focal Document
Element],A721)</f>
        <v>3</v>
      </c>
      <c r="H721" s="7" t="str">
        <f>IF(A721=A720,"",_xlfn.TEXTJOIN(", ", TRUE, C721:INDEX(C:C, ROW(C721)+SheetTable02[[#This Row],[Column1]]-1)))</f>
        <v/>
      </c>
    </row>
    <row r="722" spans="1:8" ht="43.2">
      <c r="A722" s="1" t="s">
        <v>360</v>
      </c>
      <c r="B722" s="1" t="s">
        <v>361</v>
      </c>
      <c r="C722" s="1" t="s">
        <v>443</v>
      </c>
      <c r="D722" s="1"/>
      <c r="E722" s="1"/>
      <c r="F722" s="1"/>
      <c r="G722" s="7">
        <f>COUNTIF(SheetTable02[Focal Document
Element],A722)</f>
        <v>3</v>
      </c>
      <c r="H722" s="7" t="str">
        <f>IF(A722=A721,"",_xlfn.TEXTJOIN(", ", TRUE, C722:INDEX(C:C, ROW(C722)+SheetTable02[[#This Row],[Column1]]-1)))</f>
        <v>AU-07, IR-04, IR-06</v>
      </c>
    </row>
    <row r="723" spans="1:8" ht="43.2">
      <c r="A723" s="1" t="s">
        <v>360</v>
      </c>
      <c r="B723" s="1" t="s">
        <v>361</v>
      </c>
      <c r="C723" s="1" t="s">
        <v>416</v>
      </c>
      <c r="D723" s="1"/>
      <c r="E723" s="1"/>
      <c r="F723" s="1"/>
      <c r="G723" s="7">
        <f>COUNTIF(SheetTable02[Focal Document
Element],A723)</f>
        <v>3</v>
      </c>
      <c r="H723" s="7" t="str">
        <f>IF(A723=A722,"",_xlfn.TEXTJOIN(", ", TRUE, C723:INDEX(C:C, ROW(C723)+SheetTable02[[#This Row],[Column1]]-1)))</f>
        <v/>
      </c>
    </row>
    <row r="724" spans="1:8" ht="43.2">
      <c r="A724" s="1" t="s">
        <v>360</v>
      </c>
      <c r="B724" s="1" t="s">
        <v>361</v>
      </c>
      <c r="C724" s="1" t="s">
        <v>419</v>
      </c>
      <c r="D724" s="1"/>
      <c r="E724" s="1"/>
      <c r="F724" s="1"/>
      <c r="G724" s="7">
        <f>COUNTIF(SheetTable02[Focal Document
Element],A724)</f>
        <v>3</v>
      </c>
      <c r="H724" s="7" t="str">
        <f>IF(A724=A723,"",_xlfn.TEXTJOIN(", ", TRUE, C724:INDEX(C:C, ROW(C724)+SheetTable02[[#This Row],[Column1]]-1)))</f>
        <v/>
      </c>
    </row>
    <row r="725" spans="1:8" ht="28.8">
      <c r="A725" s="1" t="s">
        <v>363</v>
      </c>
      <c r="B725" s="1" t="s">
        <v>364</v>
      </c>
      <c r="C725" s="1" t="s">
        <v>416</v>
      </c>
      <c r="D725" s="1"/>
      <c r="E725" s="1"/>
      <c r="F725" s="1"/>
      <c r="G725" s="7">
        <f>COUNTIF(SheetTable02[Focal Document
Element],A725)</f>
        <v>4</v>
      </c>
      <c r="H725" s="7" t="str">
        <f>IF(A725=A724,"",_xlfn.TEXTJOIN(", ", TRUE, C725:INDEX(C:C, ROW(C725)+SheetTable02[[#This Row],[Column1]]-1)))</f>
        <v>IR-04, IR-08, RA-03, RA-07</v>
      </c>
    </row>
    <row r="726" spans="1:8" ht="28.8">
      <c r="A726" s="1" t="s">
        <v>363</v>
      </c>
      <c r="B726" s="1" t="s">
        <v>364</v>
      </c>
      <c r="C726" s="1" t="s">
        <v>422</v>
      </c>
      <c r="D726" s="1"/>
      <c r="E726" s="1"/>
      <c r="F726" s="1"/>
      <c r="G726" s="7">
        <f>COUNTIF(SheetTable02[Focal Document
Element],A726)</f>
        <v>4</v>
      </c>
      <c r="H726" s="7" t="str">
        <f>IF(A726=A725,"",_xlfn.TEXTJOIN(", ", TRUE, C726:INDEX(C:C, ROW(C726)+SheetTable02[[#This Row],[Column1]]-1)))</f>
        <v/>
      </c>
    </row>
    <row r="727" spans="1:8" ht="28.8">
      <c r="A727" s="1" t="s">
        <v>363</v>
      </c>
      <c r="B727" s="1" t="s">
        <v>364</v>
      </c>
      <c r="C727" s="1" t="s">
        <v>442</v>
      </c>
      <c r="D727" s="1"/>
      <c r="E727" s="1"/>
      <c r="F727" s="1"/>
      <c r="G727" s="7">
        <f>COUNTIF(SheetTable02[Focal Document
Element],A727)</f>
        <v>4</v>
      </c>
      <c r="H727" s="7" t="str">
        <f>IF(A727=A726,"",_xlfn.TEXTJOIN(", ", TRUE, C727:INDEX(C:C, ROW(C727)+SheetTable02[[#This Row],[Column1]]-1)))</f>
        <v/>
      </c>
    </row>
    <row r="728" spans="1:8" ht="28.8">
      <c r="A728" s="1" t="s">
        <v>363</v>
      </c>
      <c r="B728" s="1" t="s">
        <v>364</v>
      </c>
      <c r="C728" s="1" t="s">
        <v>441</v>
      </c>
      <c r="D728" s="1"/>
      <c r="E728" s="1"/>
      <c r="F728" s="1"/>
      <c r="G728" s="7">
        <f>COUNTIF(SheetTable02[Focal Document
Element],A728)</f>
        <v>4</v>
      </c>
      <c r="H728" s="7" t="str">
        <f>IF(A728=A727,"",_xlfn.TEXTJOIN(", ", TRUE, C728:INDEX(C:C, ROW(C728)+SheetTable02[[#This Row],[Column1]]-1)))</f>
        <v/>
      </c>
    </row>
    <row r="729" spans="1:8" ht="57.6">
      <c r="A729" s="1" t="s">
        <v>440</v>
      </c>
      <c r="B729" s="1" t="s">
        <v>439</v>
      </c>
      <c r="C729" s="1"/>
      <c r="D729" s="1"/>
      <c r="E729" s="1"/>
      <c r="F729" s="1"/>
      <c r="G729" s="7">
        <f>COUNTIF(SheetTable02[Focal Document
Element],A729)</f>
        <v>1</v>
      </c>
      <c r="H729" s="7" t="str">
        <f>IF(A729=A728,"",_xlfn.TEXTJOIN(", ", TRUE, C729:INDEX(C:C, ROW(C729)+SheetTable02[[#This Row],[Column1]]-1)))</f>
        <v/>
      </c>
    </row>
    <row r="730" spans="1:8" ht="28.8">
      <c r="A730" s="1" t="s">
        <v>366</v>
      </c>
      <c r="B730" s="1" t="s">
        <v>368</v>
      </c>
      <c r="C730" s="1" t="s">
        <v>416</v>
      </c>
      <c r="D730" s="1"/>
      <c r="E730" s="1"/>
      <c r="F730" s="1"/>
      <c r="G730" s="7">
        <f>COUNTIF(SheetTable02[Focal Document
Element],A730)</f>
        <v>5</v>
      </c>
      <c r="H730" s="7" t="str">
        <f>IF(A730=A729,"",_xlfn.TEXTJOIN(", ", TRUE, C730:INDEX(C:C, ROW(C730)+SheetTable02[[#This Row],[Column1]]-1)))</f>
        <v>IR-04, IR-06, IR-07, SR-03, SR-08</v>
      </c>
    </row>
    <row r="731" spans="1:8" ht="28.8">
      <c r="A731" s="1" t="s">
        <v>366</v>
      </c>
      <c r="B731" s="1" t="s">
        <v>368</v>
      </c>
      <c r="C731" s="1" t="s">
        <v>419</v>
      </c>
      <c r="D731" s="1"/>
      <c r="E731" s="1"/>
      <c r="F731" s="1"/>
      <c r="G731" s="7">
        <f>COUNTIF(SheetTable02[Focal Document
Element],A731)</f>
        <v>5</v>
      </c>
      <c r="H731" s="7" t="str">
        <f>IF(A731=A730,"",_xlfn.TEXTJOIN(", ", TRUE, C731:INDEX(C:C, ROW(C731)+SheetTable02[[#This Row],[Column1]]-1)))</f>
        <v/>
      </c>
    </row>
    <row r="732" spans="1:8" ht="28.8">
      <c r="A732" s="1" t="s">
        <v>366</v>
      </c>
      <c r="B732" s="1" t="s">
        <v>368</v>
      </c>
      <c r="C732" s="1" t="s">
        <v>438</v>
      </c>
      <c r="D732" s="1"/>
      <c r="E732" s="1"/>
      <c r="F732" s="1"/>
      <c r="G732" s="7">
        <f>COUNTIF(SheetTable02[Focal Document
Element],A732)</f>
        <v>5</v>
      </c>
      <c r="H732" s="7" t="str">
        <f>IF(A732=A731,"",_xlfn.TEXTJOIN(", ", TRUE, C732:INDEX(C:C, ROW(C732)+SheetTable02[[#This Row],[Column1]]-1)))</f>
        <v/>
      </c>
    </row>
    <row r="733" spans="1:8" ht="28.8">
      <c r="A733" s="1" t="s">
        <v>366</v>
      </c>
      <c r="B733" s="1" t="s">
        <v>368</v>
      </c>
      <c r="C733" s="1" t="s">
        <v>437</v>
      </c>
      <c r="D733" s="1"/>
      <c r="E733" s="1"/>
      <c r="F733" s="1"/>
      <c r="G733" s="7">
        <f>COUNTIF(SheetTable02[Focal Document
Element],A733)</f>
        <v>5</v>
      </c>
      <c r="H733" s="7" t="str">
        <f>IF(A733=A732,"",_xlfn.TEXTJOIN(", ", TRUE, C733:INDEX(C:C, ROW(C733)+SheetTable02[[#This Row],[Column1]]-1)))</f>
        <v/>
      </c>
    </row>
    <row r="734" spans="1:8" ht="28.8">
      <c r="A734" s="1" t="s">
        <v>366</v>
      </c>
      <c r="B734" s="1" t="s">
        <v>368</v>
      </c>
      <c r="C734" s="1" t="s">
        <v>418</v>
      </c>
      <c r="D734" s="1"/>
      <c r="E734" s="1"/>
      <c r="F734" s="1"/>
      <c r="G734" s="7">
        <f>COUNTIF(SheetTable02[Focal Document
Element],A734)</f>
        <v>5</v>
      </c>
      <c r="H734" s="7" t="str">
        <f>IF(A734=A733,"",_xlfn.TEXTJOIN(", ", TRUE, C734:INDEX(C:C, ROW(C734)+SheetTable02[[#This Row],[Column1]]-1)))</f>
        <v/>
      </c>
    </row>
    <row r="735" spans="1:8" ht="28.8">
      <c r="A735" s="1" t="s">
        <v>370</v>
      </c>
      <c r="B735" s="1" t="s">
        <v>372</v>
      </c>
      <c r="C735" s="1" t="s">
        <v>416</v>
      </c>
      <c r="D735" s="1"/>
      <c r="E735" s="1"/>
      <c r="F735" s="1"/>
      <c r="G735" s="7">
        <f>COUNTIF(SheetTable02[Focal Document
Element],A735)</f>
        <v>5</v>
      </c>
      <c r="H735" s="7" t="str">
        <f>IF(A735=A734,"",_xlfn.TEXTJOIN(", ", TRUE, C735:INDEX(C:C, ROW(C735)+SheetTable02[[#This Row],[Column1]]-1)))</f>
        <v>IR-04, IR-06, IR-07, SR-03, SR-08</v>
      </c>
    </row>
    <row r="736" spans="1:8" ht="28.8">
      <c r="A736" s="1" t="s">
        <v>370</v>
      </c>
      <c r="B736" s="1" t="s">
        <v>372</v>
      </c>
      <c r="C736" s="1" t="s">
        <v>419</v>
      </c>
      <c r="D736" s="1"/>
      <c r="E736" s="1"/>
      <c r="F736" s="1"/>
      <c r="G736" s="7">
        <f>COUNTIF(SheetTable02[Focal Document
Element],A736)</f>
        <v>5</v>
      </c>
      <c r="H736" s="7" t="str">
        <f>IF(A736=A735,"",_xlfn.TEXTJOIN(", ", TRUE, C736:INDEX(C:C, ROW(C736)+SheetTable02[[#This Row],[Column1]]-1)))</f>
        <v/>
      </c>
    </row>
    <row r="737" spans="1:8" ht="28.8">
      <c r="A737" s="1" t="s">
        <v>370</v>
      </c>
      <c r="B737" s="1" t="s">
        <v>372</v>
      </c>
      <c r="C737" s="1" t="s">
        <v>438</v>
      </c>
      <c r="D737" s="1"/>
      <c r="E737" s="1"/>
      <c r="F737" s="1"/>
      <c r="G737" s="7">
        <f>COUNTIF(SheetTable02[Focal Document
Element],A737)</f>
        <v>5</v>
      </c>
      <c r="H737" s="7" t="str">
        <f>IF(A737=A736,"",_xlfn.TEXTJOIN(", ", TRUE, C737:INDEX(C:C, ROW(C737)+SheetTable02[[#This Row],[Column1]]-1)))</f>
        <v/>
      </c>
    </row>
    <row r="738" spans="1:8" ht="28.8">
      <c r="A738" s="1" t="s">
        <v>370</v>
      </c>
      <c r="B738" s="1" t="s">
        <v>372</v>
      </c>
      <c r="C738" s="1" t="s">
        <v>437</v>
      </c>
      <c r="D738" s="1"/>
      <c r="E738" s="1"/>
      <c r="F738" s="1"/>
      <c r="G738" s="7">
        <f>COUNTIF(SheetTable02[Focal Document
Element],A738)</f>
        <v>5</v>
      </c>
      <c r="H738" s="7" t="str">
        <f>IF(A738=A737,"",_xlfn.TEXTJOIN(", ", TRUE, C738:INDEX(C:C, ROW(C738)+SheetTable02[[#This Row],[Column1]]-1)))</f>
        <v/>
      </c>
    </row>
    <row r="739" spans="1:8" ht="28.8">
      <c r="A739" s="1" t="s">
        <v>370</v>
      </c>
      <c r="B739" s="1" t="s">
        <v>372</v>
      </c>
      <c r="C739" s="1" t="s">
        <v>418</v>
      </c>
      <c r="D739" s="1"/>
      <c r="E739" s="1"/>
      <c r="F739" s="1"/>
      <c r="G739" s="7">
        <f>COUNTIF(SheetTable02[Focal Document
Element],A739)</f>
        <v>5</v>
      </c>
      <c r="H739" s="7" t="str">
        <f>IF(A739=A738,"",_xlfn.TEXTJOIN(", ", TRUE, C739:INDEX(C:C, ROW(C739)+SheetTable02[[#This Row],[Column1]]-1)))</f>
        <v/>
      </c>
    </row>
    <row r="740" spans="1:8" ht="43.2">
      <c r="A740" s="1" t="s">
        <v>436</v>
      </c>
      <c r="B740" s="1" t="s">
        <v>435</v>
      </c>
      <c r="C740" s="1"/>
      <c r="D740" s="1"/>
      <c r="E740" s="1"/>
      <c r="F740" s="1"/>
      <c r="G740" s="7">
        <f>COUNTIF(SheetTable02[Focal Document
Element],A740)</f>
        <v>1</v>
      </c>
      <c r="H740" s="7" t="str">
        <f>IF(A740=A739,"",_xlfn.TEXTJOIN(", ", TRUE, C740:INDEX(C:C, ROW(C740)+SheetTable02[[#This Row],[Column1]]-1)))</f>
        <v/>
      </c>
    </row>
    <row r="741" spans="1:8">
      <c r="A741" s="1" t="s">
        <v>374</v>
      </c>
      <c r="B741" s="1" t="s">
        <v>376</v>
      </c>
      <c r="C741" s="1" t="s">
        <v>416</v>
      </c>
      <c r="D741" s="1"/>
      <c r="E741" s="1"/>
      <c r="F741" s="1"/>
      <c r="G741" s="7">
        <f>COUNTIF(SheetTable02[Focal Document
Element],A741)</f>
        <v>1</v>
      </c>
      <c r="H741" s="7" t="str">
        <f>IF(A741=A740,"",_xlfn.TEXTJOIN(", ", TRUE, C741:INDEX(C:C, ROW(C741)+SheetTable02[[#This Row],[Column1]]-1)))</f>
        <v>IR-04</v>
      </c>
    </row>
    <row r="742" spans="1:8">
      <c r="A742" s="1" t="s">
        <v>378</v>
      </c>
      <c r="B742" s="1" t="s">
        <v>380</v>
      </c>
      <c r="C742" s="1" t="s">
        <v>416</v>
      </c>
      <c r="D742" s="1"/>
      <c r="E742" s="1"/>
      <c r="F742" s="1"/>
      <c r="G742" s="7">
        <f>COUNTIF(SheetTable02[Focal Document
Element],A742)</f>
        <v>1</v>
      </c>
      <c r="H742" s="7" t="str">
        <f>IF(A742=A741,"",_xlfn.TEXTJOIN(", ", TRUE, C742:INDEX(C:C, ROW(C742)+SheetTable02[[#This Row],[Column1]]-1)))</f>
        <v>IR-04</v>
      </c>
    </row>
    <row r="743" spans="1:8" ht="28.8">
      <c r="A743" s="1" t="s">
        <v>434</v>
      </c>
      <c r="B743" s="1" t="s">
        <v>433</v>
      </c>
      <c r="C743" s="1"/>
      <c r="D743" s="1"/>
      <c r="E743" s="1"/>
      <c r="F743" s="1"/>
      <c r="G743" s="7">
        <f>COUNTIF(SheetTable02[Focal Document
Element],A743)</f>
        <v>1</v>
      </c>
      <c r="H743" s="7" t="str">
        <f>IF(A743=A742,"",_xlfn.TEXTJOIN(", ", TRUE, C743:INDEX(C:C, ROW(C743)+SheetTable02[[#This Row],[Column1]]-1)))</f>
        <v/>
      </c>
    </row>
    <row r="744" spans="1:8" ht="57.6">
      <c r="A744" s="1" t="s">
        <v>431</v>
      </c>
      <c r="B744" s="1" t="s">
        <v>430</v>
      </c>
      <c r="C744" s="1" t="s">
        <v>432</v>
      </c>
      <c r="D744" s="1"/>
      <c r="E744" s="1"/>
      <c r="F744" s="1"/>
      <c r="G744" s="7">
        <f>COUNTIF(SheetTable02[Focal Document
Element],A744)</f>
        <v>2</v>
      </c>
      <c r="H744" s="7" t="str">
        <f>IF(A744=A743,"",_xlfn.TEXTJOIN(", ", TRUE, C744:INDEX(C:C, ROW(C744)+SheetTable02[[#This Row],[Column1]]-1)))</f>
        <v>CP-04
, CP-10</v>
      </c>
    </row>
    <row r="745" spans="1:8" ht="57.6">
      <c r="A745" s="1" t="s">
        <v>431</v>
      </c>
      <c r="B745" s="1" t="s">
        <v>430</v>
      </c>
      <c r="C745" s="1" t="s">
        <v>423</v>
      </c>
      <c r="D745" s="1"/>
      <c r="E745" s="1"/>
      <c r="F745" s="1"/>
      <c r="G745" s="7">
        <f>COUNTIF(SheetTable02[Focal Document
Element],A745)</f>
        <v>2</v>
      </c>
      <c r="H745" s="7" t="str">
        <f>IF(A745=A744,"",_xlfn.TEXTJOIN(", ", TRUE, C745:INDEX(C:C, ROW(C745)+SheetTable02[[#This Row],[Column1]]-1)))</f>
        <v/>
      </c>
    </row>
    <row r="746" spans="1:8" ht="43.2">
      <c r="A746" s="1" t="s">
        <v>382</v>
      </c>
      <c r="B746" s="1" t="s">
        <v>384</v>
      </c>
      <c r="C746" s="1" t="s">
        <v>423</v>
      </c>
      <c r="D746" s="1"/>
      <c r="E746" s="1"/>
      <c r="F746" s="1"/>
      <c r="G746" s="7">
        <f>COUNTIF(SheetTable02[Focal Document
Element],A746)</f>
        <v>3</v>
      </c>
      <c r="H746" s="7" t="str">
        <f>IF(A746=A745,"",_xlfn.TEXTJOIN(", ", TRUE, C746:INDEX(C:C, ROW(C746)+SheetTable02[[#This Row],[Column1]]-1)))</f>
        <v>CP-10, IR-04, IR-08</v>
      </c>
    </row>
    <row r="747" spans="1:8" ht="43.2">
      <c r="A747" s="1" t="s">
        <v>382</v>
      </c>
      <c r="B747" s="1" t="s">
        <v>384</v>
      </c>
      <c r="C747" s="1" t="s">
        <v>416</v>
      </c>
      <c r="D747" s="1"/>
      <c r="E747" s="1"/>
      <c r="F747" s="1"/>
      <c r="G747" s="7">
        <f>COUNTIF(SheetTable02[Focal Document
Element],A747)</f>
        <v>3</v>
      </c>
      <c r="H747" s="7" t="str">
        <f>IF(A747=A746,"",_xlfn.TEXTJOIN(", ", TRUE, C747:INDEX(C:C, ROW(C747)+SheetTable02[[#This Row],[Column1]]-1)))</f>
        <v/>
      </c>
    </row>
    <row r="748" spans="1:8" ht="43.2">
      <c r="A748" s="1" t="s">
        <v>382</v>
      </c>
      <c r="B748" s="1" t="s">
        <v>384</v>
      </c>
      <c r="C748" s="1" t="s">
        <v>422</v>
      </c>
      <c r="D748" s="1"/>
      <c r="E748" s="1"/>
      <c r="F748" s="1"/>
      <c r="G748" s="7">
        <f>COUNTIF(SheetTable02[Focal Document
Element],A748)</f>
        <v>3</v>
      </c>
      <c r="H748" s="7" t="str">
        <f>IF(A748=A747,"",_xlfn.TEXTJOIN(", ", TRUE, C748:INDEX(C:C, ROW(C748)+SheetTable02[[#This Row],[Column1]]-1)))</f>
        <v/>
      </c>
    </row>
    <row r="749" spans="1:8" ht="28.8">
      <c r="A749" s="1" t="s">
        <v>386</v>
      </c>
      <c r="B749" s="1" t="s">
        <v>387</v>
      </c>
      <c r="C749" s="1" t="s">
        <v>423</v>
      </c>
      <c r="D749" s="1"/>
      <c r="E749" s="1"/>
      <c r="F749" s="1"/>
      <c r="G749" s="7">
        <f>COUNTIF(SheetTable02[Focal Document
Element],A749)</f>
        <v>3</v>
      </c>
      <c r="H749" s="7" t="str">
        <f>IF(A749=A748,"",_xlfn.TEXTJOIN(", ", TRUE, C749:INDEX(C:C, ROW(C749)+SheetTable02[[#This Row],[Column1]]-1)))</f>
        <v>CP-10, IR-04, IR-08</v>
      </c>
    </row>
    <row r="750" spans="1:8" ht="28.8">
      <c r="A750" s="1" t="s">
        <v>386</v>
      </c>
      <c r="B750" s="1" t="s">
        <v>387</v>
      </c>
      <c r="C750" s="1" t="s">
        <v>416</v>
      </c>
      <c r="D750" s="1"/>
      <c r="E750" s="1"/>
      <c r="F750" s="1"/>
      <c r="G750" s="7">
        <f>COUNTIF(SheetTable02[Focal Document
Element],A750)</f>
        <v>3</v>
      </c>
      <c r="H750" s="7" t="str">
        <f>IF(A750=A749,"",_xlfn.TEXTJOIN(", ", TRUE, C750:INDEX(C:C, ROW(C750)+SheetTable02[[#This Row],[Column1]]-1)))</f>
        <v/>
      </c>
    </row>
    <row r="751" spans="1:8" ht="28.8">
      <c r="A751" s="1" t="s">
        <v>386</v>
      </c>
      <c r="B751" s="1" t="s">
        <v>387</v>
      </c>
      <c r="C751" s="1" t="s">
        <v>422</v>
      </c>
      <c r="D751" s="1"/>
      <c r="E751" s="1"/>
      <c r="F751" s="1"/>
      <c r="G751" s="7">
        <f>COUNTIF(SheetTable02[Focal Document
Element],A751)</f>
        <v>3</v>
      </c>
      <c r="H751" s="7" t="str">
        <f>IF(A751=A750,"",_xlfn.TEXTJOIN(", ", TRUE, C751:INDEX(C:C, ROW(C751)+SheetTable02[[#This Row],[Column1]]-1)))</f>
        <v/>
      </c>
    </row>
    <row r="752" spans="1:8" ht="43.2">
      <c r="A752" s="1" t="s">
        <v>389</v>
      </c>
      <c r="B752" s="1" t="s">
        <v>390</v>
      </c>
      <c r="C752" s="1" t="s">
        <v>417</v>
      </c>
      <c r="D752" s="1"/>
      <c r="E752" s="1"/>
      <c r="F752" s="1"/>
      <c r="G752" s="7">
        <f>COUNTIF(SheetTable02[Focal Document
Element],A752)</f>
        <v>3</v>
      </c>
      <c r="H752" s="7" t="str">
        <f>IF(A752=A751,"",_xlfn.TEXTJOIN(", ", TRUE, C752:INDEX(C:C, ROW(C752)+SheetTable02[[#This Row],[Column1]]-1)))</f>
        <v>CP-02, CP-04, CP-09</v>
      </c>
    </row>
    <row r="753" spans="1:8" ht="43.2">
      <c r="A753" s="1" t="s">
        <v>389</v>
      </c>
      <c r="B753" s="1" t="s">
        <v>390</v>
      </c>
      <c r="C753" s="1" t="s">
        <v>429</v>
      </c>
      <c r="D753" s="1"/>
      <c r="E753" s="1"/>
      <c r="F753" s="1"/>
      <c r="G753" s="7">
        <f>COUNTIF(SheetTable02[Focal Document
Element],A753)</f>
        <v>3</v>
      </c>
      <c r="H753" s="7" t="str">
        <f>IF(A753=A752,"",_xlfn.TEXTJOIN(", ", TRUE, C753:INDEX(C:C, ROW(C753)+SheetTable02[[#This Row],[Column1]]-1)))</f>
        <v/>
      </c>
    </row>
    <row r="754" spans="1:8" ht="43.2">
      <c r="A754" s="1" t="s">
        <v>389</v>
      </c>
      <c r="B754" s="1" t="s">
        <v>390</v>
      </c>
      <c r="C754" s="1" t="s">
        <v>428</v>
      </c>
      <c r="D754" s="1"/>
      <c r="E754" s="1"/>
      <c r="F754" s="1"/>
      <c r="G754" s="7">
        <f>COUNTIF(SheetTable02[Focal Document
Element],A754)</f>
        <v>3</v>
      </c>
      <c r="H754" s="7" t="str">
        <f>IF(A754=A753,"",_xlfn.TEXTJOIN(", ", TRUE, C754:INDEX(C:C, ROW(C754)+SheetTable02[[#This Row],[Column1]]-1)))</f>
        <v/>
      </c>
    </row>
    <row r="755" spans="1:8" ht="57.6">
      <c r="A755" s="1" t="s">
        <v>392</v>
      </c>
      <c r="B755" s="1" t="s">
        <v>393</v>
      </c>
      <c r="C755" s="1" t="s">
        <v>427</v>
      </c>
      <c r="D755" s="1"/>
      <c r="E755" s="1"/>
      <c r="F755" s="1"/>
      <c r="G755" s="7">
        <f>COUNTIF(SheetTable02[Focal Document
Element],A755)</f>
        <v>5</v>
      </c>
      <c r="H755" s="7" t="str">
        <f>IF(A755=A754,"",_xlfn.TEXTJOIN(", ", TRUE, C755:INDEX(C:C, ROW(C755)+SheetTable02[[#This Row],[Column1]]-1)))</f>
        <v>PM-08, PM-09, PM-11, IR-01, IR-08</v>
      </c>
    </row>
    <row r="756" spans="1:8" ht="57.6">
      <c r="A756" s="1" t="s">
        <v>392</v>
      </c>
      <c r="B756" s="1" t="s">
        <v>393</v>
      </c>
      <c r="C756" s="1" t="s">
        <v>426</v>
      </c>
      <c r="D756" s="1"/>
      <c r="E756" s="1"/>
      <c r="F756" s="1"/>
      <c r="G756" s="7">
        <f>COUNTIF(SheetTable02[Focal Document
Element],A756)</f>
        <v>5</v>
      </c>
      <c r="H756" s="7" t="str">
        <f>IF(A756=A755,"",_xlfn.TEXTJOIN(", ", TRUE, C756:INDEX(C:C, ROW(C756)+SheetTable02[[#This Row],[Column1]]-1)))</f>
        <v/>
      </c>
    </row>
    <row r="757" spans="1:8" ht="57.6">
      <c r="A757" s="1" t="s">
        <v>392</v>
      </c>
      <c r="B757" s="1" t="s">
        <v>393</v>
      </c>
      <c r="C757" s="1" t="s">
        <v>425</v>
      </c>
      <c r="D757" s="1"/>
      <c r="E757" s="1"/>
      <c r="F757" s="1"/>
      <c r="G757" s="7">
        <f>COUNTIF(SheetTable02[Focal Document
Element],A757)</f>
        <v>5</v>
      </c>
      <c r="H757" s="7" t="str">
        <f>IF(A757=A756,"",_xlfn.TEXTJOIN(", ", TRUE, C757:INDEX(C:C, ROW(C757)+SheetTable02[[#This Row],[Column1]]-1)))</f>
        <v/>
      </c>
    </row>
    <row r="758" spans="1:8" ht="57.6">
      <c r="A758" s="1" t="s">
        <v>392</v>
      </c>
      <c r="B758" s="1" t="s">
        <v>393</v>
      </c>
      <c r="C758" s="1" t="s">
        <v>424</v>
      </c>
      <c r="D758" s="1"/>
      <c r="E758" s="1"/>
      <c r="F758" s="1"/>
      <c r="G758" s="7">
        <f>COUNTIF(SheetTable02[Focal Document
Element],A758)</f>
        <v>5</v>
      </c>
      <c r="H758" s="7" t="str">
        <f>IF(A758=A757,"",_xlfn.TEXTJOIN(", ", TRUE, C758:INDEX(C:C, ROW(C758)+SheetTable02[[#This Row],[Column1]]-1)))</f>
        <v/>
      </c>
    </row>
    <row r="759" spans="1:8" ht="57.6">
      <c r="A759" s="1" t="s">
        <v>392</v>
      </c>
      <c r="B759" s="1" t="s">
        <v>393</v>
      </c>
      <c r="C759" s="1" t="s">
        <v>422</v>
      </c>
      <c r="D759" s="1"/>
      <c r="E759" s="1"/>
      <c r="F759" s="1"/>
      <c r="G759" s="7">
        <f>COUNTIF(SheetTable02[Focal Document
Element],A759)</f>
        <v>5</v>
      </c>
      <c r="H759" s="7" t="str">
        <f>IF(A759=A758,"",_xlfn.TEXTJOIN(", ", TRUE, C759:INDEX(C:C, ROW(C759)+SheetTable02[[#This Row],[Column1]]-1)))</f>
        <v/>
      </c>
    </row>
    <row r="760" spans="1:8" ht="57.6">
      <c r="A760" s="1" t="s">
        <v>395</v>
      </c>
      <c r="B760" s="1" t="s">
        <v>396</v>
      </c>
      <c r="C760" s="1" t="s">
        <v>423</v>
      </c>
      <c r="D760" s="1"/>
      <c r="E760" s="1"/>
      <c r="F760" s="1"/>
      <c r="G760" s="7">
        <f>COUNTIF(SheetTable02[Focal Document
Element],A760)</f>
        <v>1</v>
      </c>
      <c r="H760" s="7" t="str">
        <f>IF(A760=A759,"",_xlfn.TEXTJOIN(", ", TRUE, C760:INDEX(C:C, ROW(C760)+SheetTable02[[#This Row],[Column1]]-1)))</f>
        <v>CP-10</v>
      </c>
    </row>
    <row r="761" spans="1:8" ht="43.2">
      <c r="A761" s="1" t="s">
        <v>398</v>
      </c>
      <c r="B761" s="1" t="s">
        <v>399</v>
      </c>
      <c r="C761" s="1" t="s">
        <v>416</v>
      </c>
      <c r="D761" s="1"/>
      <c r="E761" s="1"/>
      <c r="F761" s="1"/>
      <c r="G761" s="7">
        <f>COUNTIF(SheetTable02[Focal Document
Element],A761)</f>
        <v>2</v>
      </c>
      <c r="H761" s="7" t="str">
        <f>IF(A761=A760,"",_xlfn.TEXTJOIN(", ", TRUE, C761:INDEX(C:C, ROW(C761)+SheetTable02[[#This Row],[Column1]]-1)))</f>
        <v>IR-04, IR-08</v>
      </c>
    </row>
    <row r="762" spans="1:8" ht="43.2">
      <c r="A762" s="1" t="s">
        <v>398</v>
      </c>
      <c r="B762" s="1" t="s">
        <v>399</v>
      </c>
      <c r="C762" s="1" t="s">
        <v>422</v>
      </c>
      <c r="D762" s="1"/>
      <c r="E762" s="1"/>
      <c r="F762" s="1"/>
      <c r="G762" s="7">
        <f>COUNTIF(SheetTable02[Focal Document
Element],A762)</f>
        <v>2</v>
      </c>
      <c r="H762" s="7" t="str">
        <f>IF(A762=A761,"",_xlfn.TEXTJOIN(", ", TRUE, C762:INDEX(C:C, ROW(C762)+SheetTable02[[#This Row],[Column1]]-1)))</f>
        <v/>
      </c>
    </row>
    <row r="763" spans="1:8" ht="28.8">
      <c r="A763" s="1" t="s">
        <v>421</v>
      </c>
      <c r="B763" s="1" t="s">
        <v>420</v>
      </c>
      <c r="C763" s="1"/>
      <c r="D763" s="1"/>
      <c r="E763" s="1"/>
      <c r="F763" s="1"/>
      <c r="G763" s="7">
        <f>COUNTIF(SheetTable02[Focal Document
Element],A763)</f>
        <v>1</v>
      </c>
      <c r="H763" s="7" t="str">
        <f>IF(A763=A762,"",_xlfn.TEXTJOIN(", ", TRUE, C763:INDEX(C:C, ROW(C763)+SheetTable02[[#This Row],[Column1]]-1)))</f>
        <v/>
      </c>
    </row>
    <row r="764" spans="1:8" ht="57.6">
      <c r="A764" s="1" t="s">
        <v>401</v>
      </c>
      <c r="B764" s="1" t="s">
        <v>403</v>
      </c>
      <c r="C764" s="1" t="s">
        <v>416</v>
      </c>
      <c r="D764" s="1"/>
      <c r="E764" s="1"/>
      <c r="F764" s="1"/>
      <c r="G764" s="7">
        <f>COUNTIF(SheetTable02[Focal Document
Element],A764)</f>
        <v>3</v>
      </c>
      <c r="H764" s="7" t="str">
        <f>IF(A764=A763,"",_xlfn.TEXTJOIN(", ", TRUE, C764:INDEX(C:C, ROW(C764)+SheetTable02[[#This Row],[Column1]]-1)))</f>
        <v>IR-04, IR-06, SR-08</v>
      </c>
    </row>
    <row r="765" spans="1:8" ht="57.6">
      <c r="A765" s="1" t="s">
        <v>401</v>
      </c>
      <c r="B765" s="1" t="s">
        <v>403</v>
      </c>
      <c r="C765" s="1" t="s">
        <v>419</v>
      </c>
      <c r="D765" s="1"/>
      <c r="E765" s="1"/>
      <c r="F765" s="1"/>
      <c r="G765" s="7">
        <f>COUNTIF(SheetTable02[Focal Document
Element],A765)</f>
        <v>3</v>
      </c>
      <c r="H765" s="7" t="str">
        <f>IF(A765=A764,"",_xlfn.TEXTJOIN(", ", TRUE, C765:INDEX(C:C, ROW(C765)+SheetTable02[[#This Row],[Column1]]-1)))</f>
        <v/>
      </c>
    </row>
    <row r="766" spans="1:8" ht="57.6">
      <c r="A766" s="1" t="s">
        <v>401</v>
      </c>
      <c r="B766" s="1" t="s">
        <v>403</v>
      </c>
      <c r="C766" s="1" t="s">
        <v>418</v>
      </c>
      <c r="D766" s="1"/>
      <c r="E766" s="1"/>
      <c r="F766" s="1"/>
      <c r="G766" s="7">
        <f>COUNTIF(SheetTable02[Focal Document
Element],A766)</f>
        <v>3</v>
      </c>
      <c r="H766" s="7" t="str">
        <f>IF(A766=A765,"",_xlfn.TEXTJOIN(", ", TRUE, C766:INDEX(C:C, ROW(C766)+SheetTable02[[#This Row],[Column1]]-1)))</f>
        <v/>
      </c>
    </row>
    <row r="767" spans="1:8" ht="43.2">
      <c r="A767" s="1" t="s">
        <v>405</v>
      </c>
      <c r="B767" s="1" t="s">
        <v>407</v>
      </c>
      <c r="C767" s="1" t="s">
        <v>417</v>
      </c>
      <c r="D767" s="1"/>
      <c r="E767" s="1"/>
      <c r="F767" s="1"/>
      <c r="G767" s="7">
        <f>COUNTIF(SheetTable02[Focal Document
Element],A767)</f>
        <v>2</v>
      </c>
      <c r="H767" s="7" t="str">
        <f>IF(A767=A766,"",_xlfn.TEXTJOIN(", ", TRUE, C767:INDEX(C:C, ROW(C767)+SheetTable02[[#This Row],[Column1]]-1)))</f>
        <v>CP-02, IR-04</v>
      </c>
    </row>
    <row r="768" spans="1:8" ht="43.2">
      <c r="A768" s="1" t="s">
        <v>405</v>
      </c>
      <c r="B768" s="1" t="s">
        <v>407</v>
      </c>
      <c r="C768" s="1" t="s">
        <v>416</v>
      </c>
      <c r="D768" s="1"/>
      <c r="E768" s="1"/>
      <c r="F768" s="1"/>
      <c r="G768" s="7">
        <f>COUNTIF(SheetTable02[Focal Document
Element],A768)</f>
        <v>2</v>
      </c>
      <c r="H768" s="7" t="str">
        <f>IF(A768=A767,"",_xlfn.TEXTJOIN(", ", TRUE, C768:INDEX(C:C, ROW(C768)+SheetTable02[[#This Row],[Column1]]-1)))</f>
        <v/>
      </c>
    </row>
  </sheetData>
  <phoneticPr fontId="12" type="noConversion"/>
  <dataValidations count="1">
    <dataValidation type="list" allowBlank="1" sqref="F692:F768 F3:F47 F49:F347 F362:F690" xr:uid="{26EDA353-72C4-4AFC-8A17-593178EBCBA2}">
      <formula1>"0,1,2,3,4,5,6,7,8,9,10"</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NIST CSF 2.0</vt:lpstr>
      <vt:lpstr>NIST CSF 2.0-&gt;NIST SP 800-53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2025-04-18T18:25:00Z</dcterms:created>
  <dcterms:modified xsi:type="dcterms:W3CDTF">2026-04-15T19:30:54Z</dcterms:modified>
</cp:coreProperties>
</file>