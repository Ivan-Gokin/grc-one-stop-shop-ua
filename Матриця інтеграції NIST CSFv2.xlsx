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користувач\Documents\"/>
    </mc:Choice>
  </mc:AlternateContent>
  <xr:revisionPtr revIDLastSave="0" documentId="8_{39A31BD7-BCE3-485A-8309-372AAF45BDA6}" xr6:coauthVersionLast="47" xr6:coauthVersionMax="47" xr10:uidLastSave="{00000000-0000-0000-0000-000000000000}"/>
  <bookViews>
    <workbookView xWindow="-108" yWindow="-108" windowWidth="23256" windowHeight="12576" xr2:uid="{46A9AAD0-2678-412F-B357-8B6BED3B713B}"/>
  </bookViews>
  <sheets>
    <sheet name="NIST CSF 2.0" sheetId="1" r:id="rId1"/>
    <sheet name="NIST CSF 2.0-&gt;NIST SP 800-53"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 i="1" l="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H7" i="4"/>
  <c r="H8" i="4"/>
  <c r="H9" i="4"/>
  <c r="H10" i="4"/>
  <c r="H11" i="4"/>
  <c r="H12" i="4"/>
  <c r="H14" i="4"/>
  <c r="H15" i="4"/>
  <c r="H16" i="4"/>
  <c r="H17" i="4"/>
  <c r="H18" i="4"/>
  <c r="H19" i="4"/>
  <c r="H20" i="4"/>
  <c r="H21" i="4"/>
  <c r="H22" i="4"/>
  <c r="H23" i="4"/>
  <c r="H24" i="4"/>
  <c r="H25" i="4"/>
  <c r="H26" i="4"/>
  <c r="H27" i="4"/>
  <c r="H28" i="4"/>
  <c r="H29" i="4"/>
  <c r="H30" i="4"/>
  <c r="H31" i="4"/>
  <c r="H32" i="4"/>
  <c r="H33" i="4"/>
  <c r="H34" i="4"/>
  <c r="H36" i="4"/>
  <c r="H37" i="4"/>
  <c r="H38" i="4"/>
  <c r="H39" i="4"/>
  <c r="H41" i="4"/>
  <c r="H42" i="4"/>
  <c r="H43" i="4"/>
  <c r="H44" i="4"/>
  <c r="H47" i="4"/>
  <c r="H48" i="4"/>
  <c r="H51" i="4"/>
  <c r="H52" i="4"/>
  <c r="H53" i="4"/>
  <c r="H54" i="4"/>
  <c r="H56" i="4"/>
  <c r="H57" i="4"/>
  <c r="H58" i="4"/>
  <c r="H60" i="4"/>
  <c r="H62" i="4"/>
  <c r="H63" i="4"/>
  <c r="H64" i="4"/>
  <c r="H65" i="4"/>
  <c r="H67" i="4"/>
  <c r="H68" i="4"/>
  <c r="H69" i="4"/>
  <c r="H70" i="4"/>
  <c r="H73" i="4"/>
  <c r="H74" i="4"/>
  <c r="H75" i="4"/>
  <c r="H76" i="4"/>
  <c r="H78" i="4"/>
  <c r="H79" i="4"/>
  <c r="H80" i="4"/>
  <c r="H81" i="4"/>
  <c r="H82" i="4"/>
  <c r="H85" i="4"/>
  <c r="H86" i="4"/>
  <c r="H87" i="4"/>
  <c r="H90" i="4"/>
  <c r="H91" i="4"/>
  <c r="H92" i="4"/>
  <c r="H93" i="4"/>
  <c r="H94" i="4"/>
  <c r="H95" i="4"/>
  <c r="H96" i="4"/>
  <c r="H97" i="4"/>
  <c r="H98" i="4"/>
  <c r="H99" i="4"/>
  <c r="H100" i="4"/>
  <c r="H101" i="4"/>
  <c r="H102" i="4"/>
  <c r="H103" i="4"/>
  <c r="H104" i="4"/>
  <c r="H105" i="4"/>
  <c r="H106" i="4"/>
  <c r="H107" i="4"/>
  <c r="H108" i="4"/>
  <c r="H110" i="4"/>
  <c r="H111" i="4"/>
  <c r="H112" i="4"/>
  <c r="H113" i="4"/>
  <c r="H114" i="4"/>
  <c r="H115" i="4"/>
  <c r="H116" i="4"/>
  <c r="H117" i="4"/>
  <c r="H118" i="4"/>
  <c r="H119" i="4"/>
  <c r="H120" i="4"/>
  <c r="H121" i="4"/>
  <c r="H122" i="4"/>
  <c r="H123" i="4"/>
  <c r="H124" i="4"/>
  <c r="H125" i="4"/>
  <c r="H126" i="4"/>
  <c r="H127" i="4"/>
  <c r="H128"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7" i="4"/>
  <c r="H158" i="4"/>
  <c r="H159" i="4"/>
  <c r="H160" i="4"/>
  <c r="H161" i="4"/>
  <c r="H163" i="4"/>
  <c r="H164" i="4"/>
  <c r="H165" i="4"/>
  <c r="H168" i="4"/>
  <c r="H169" i="4"/>
  <c r="H171" i="4"/>
  <c r="H172"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2" i="4"/>
  <c r="H203" i="4"/>
  <c r="H205" i="4"/>
  <c r="H206" i="4"/>
  <c r="H207" i="4"/>
  <c r="H208" i="4"/>
  <c r="H209" i="4"/>
  <c r="H211" i="4"/>
  <c r="H212" i="4"/>
  <c r="H213" i="4"/>
  <c r="H215" i="4"/>
  <c r="H216" i="4"/>
  <c r="H217" i="4"/>
  <c r="H218" i="4"/>
  <c r="H220" i="4"/>
  <c r="H221" i="4"/>
  <c r="H222" i="4"/>
  <c r="H223" i="4"/>
  <c r="H224" i="4"/>
  <c r="H225" i="4"/>
  <c r="H227" i="4"/>
  <c r="H228" i="4"/>
  <c r="H229" i="4"/>
  <c r="H230" i="4"/>
  <c r="H231" i="4"/>
  <c r="H232" i="4"/>
  <c r="H233" i="4"/>
  <c r="H234" i="4"/>
  <c r="H235" i="4"/>
  <c r="H236" i="4"/>
  <c r="H237" i="4"/>
  <c r="H238" i="4"/>
  <c r="H240" i="4"/>
  <c r="H241" i="4"/>
  <c r="H242" i="4"/>
  <c r="H243" i="4"/>
  <c r="H244" i="4"/>
  <c r="H245" i="4"/>
  <c r="H246" i="4"/>
  <c r="H247" i="4"/>
  <c r="H248" i="4"/>
  <c r="H252" i="4"/>
  <c r="H254" i="4"/>
  <c r="H255" i="4"/>
  <c r="H256" i="4"/>
  <c r="H257" i="4"/>
  <c r="H259" i="4"/>
  <c r="H260" i="4"/>
  <c r="H261" i="4"/>
  <c r="H262" i="4"/>
  <c r="H263" i="4"/>
  <c r="H265" i="4"/>
  <c r="H266" i="4"/>
  <c r="H268" i="4"/>
  <c r="H269" i="4"/>
  <c r="H271" i="4"/>
  <c r="H272" i="4"/>
  <c r="H274" i="4"/>
  <c r="H275" i="4"/>
  <c r="H276" i="4"/>
  <c r="H277" i="4"/>
  <c r="H278" i="4"/>
  <c r="H279" i="4"/>
  <c r="H280" i="4"/>
  <c r="H281" i="4"/>
  <c r="H282" i="4"/>
  <c r="H283" i="4"/>
  <c r="H284" i="4"/>
  <c r="H285" i="4"/>
  <c r="H286" i="4"/>
  <c r="H287" i="4"/>
  <c r="H290" i="4"/>
  <c r="H291" i="4"/>
  <c r="H292" i="4"/>
  <c r="H293" i="4"/>
  <c r="H294" i="4"/>
  <c r="H295" i="4"/>
  <c r="H296" i="4"/>
  <c r="H297" i="4"/>
  <c r="H298" i="4"/>
  <c r="H300" i="4"/>
  <c r="H301" i="4"/>
  <c r="H303" i="4"/>
  <c r="H304" i="4"/>
  <c r="H305" i="4"/>
  <c r="H307" i="4"/>
  <c r="H308" i="4"/>
  <c r="H309" i="4"/>
  <c r="H310" i="4"/>
  <c r="H311" i="4"/>
  <c r="H313" i="4"/>
  <c r="H314" i="4"/>
  <c r="H315" i="4"/>
  <c r="H317" i="4"/>
  <c r="H318" i="4"/>
  <c r="H319" i="4"/>
  <c r="H321" i="4"/>
  <c r="H322" i="4"/>
  <c r="H325" i="4"/>
  <c r="H326" i="4"/>
  <c r="H327" i="4"/>
  <c r="H328" i="4"/>
  <c r="H329" i="4"/>
  <c r="H330" i="4"/>
  <c r="H331" i="4"/>
  <c r="H332" i="4"/>
  <c r="H333" i="4"/>
  <c r="H334"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4" i="4"/>
  <c r="H455" i="4"/>
  <c r="H456" i="4"/>
  <c r="H460" i="4"/>
  <c r="H461" i="4"/>
  <c r="H462" i="4"/>
  <c r="H463" i="4"/>
  <c r="H464" i="4"/>
  <c r="H465" i="4"/>
  <c r="H466" i="4"/>
  <c r="H467" i="4"/>
  <c r="H468" i="4"/>
  <c r="H469" i="4"/>
  <c r="H470" i="4"/>
  <c r="H471" i="4"/>
  <c r="H472" i="4"/>
  <c r="H475" i="4"/>
  <c r="H476" i="4"/>
  <c r="H477" i="4"/>
  <c r="H478" i="4"/>
  <c r="H479" i="4"/>
  <c r="H480" i="4"/>
  <c r="H481" i="4"/>
  <c r="H482" i="4"/>
  <c r="H483" i="4"/>
  <c r="H486" i="4"/>
  <c r="H487" i="4"/>
  <c r="H488" i="4"/>
  <c r="H489" i="4"/>
  <c r="H490" i="4"/>
  <c r="H491" i="4"/>
  <c r="H492" i="4"/>
  <c r="H493" i="4"/>
  <c r="H494" i="4"/>
  <c r="H495" i="4"/>
  <c r="H496" i="4"/>
  <c r="H498" i="4"/>
  <c r="H499" i="4"/>
  <c r="H500" i="4"/>
  <c r="H501" i="4"/>
  <c r="H502" i="4"/>
  <c r="H503" i="4"/>
  <c r="H504" i="4"/>
  <c r="H505" i="4"/>
  <c r="H508" i="4"/>
  <c r="H512" i="4"/>
  <c r="H513" i="4"/>
  <c r="H514" i="4"/>
  <c r="H515" i="4"/>
  <c r="H516" i="4"/>
  <c r="H517" i="4"/>
  <c r="H518" i="4"/>
  <c r="H519" i="4"/>
  <c r="H520" i="4"/>
  <c r="H521" i="4"/>
  <c r="H522" i="4"/>
  <c r="H523" i="4"/>
  <c r="H524" i="4"/>
  <c r="H526" i="4"/>
  <c r="H527" i="4"/>
  <c r="H528" i="4"/>
  <c r="H529" i="4"/>
  <c r="H530" i="4"/>
  <c r="H531" i="4"/>
  <c r="H532" i="4"/>
  <c r="H533" i="4"/>
  <c r="H534" i="4"/>
  <c r="H535" i="4"/>
  <c r="H536" i="4"/>
  <c r="H537" i="4"/>
  <c r="H538" i="4"/>
  <c r="H540" i="4"/>
  <c r="H541" i="4"/>
  <c r="H542" i="4"/>
  <c r="H543" i="4"/>
  <c r="H544" i="4"/>
  <c r="H545" i="4"/>
  <c r="H546" i="4"/>
  <c r="H547" i="4"/>
  <c r="H548" i="4"/>
  <c r="H549" i="4"/>
  <c r="H550" i="4"/>
  <c r="H551" i="4"/>
  <c r="H552" i="4"/>
  <c r="H553" i="4"/>
  <c r="H554" i="4"/>
  <c r="H555" i="4"/>
  <c r="H556" i="4"/>
  <c r="H557" i="4"/>
  <c r="H558" i="4"/>
  <c r="H559" i="4"/>
  <c r="H560" i="4"/>
  <c r="H562" i="4"/>
  <c r="H565" i="4"/>
  <c r="H566" i="4"/>
  <c r="H567" i="4"/>
  <c r="H568" i="4"/>
  <c r="H569" i="4"/>
  <c r="H570" i="4"/>
  <c r="H571" i="4"/>
  <c r="H572" i="4"/>
  <c r="H573" i="4"/>
  <c r="H574" i="4"/>
  <c r="H576" i="4"/>
  <c r="H577" i="4"/>
  <c r="H578" i="4"/>
  <c r="H579" i="4"/>
  <c r="H581" i="4"/>
  <c r="H582" i="4"/>
  <c r="H583" i="4"/>
  <c r="H584" i="4"/>
  <c r="H585" i="4"/>
  <c r="H587" i="4"/>
  <c r="H588" i="4"/>
  <c r="H589" i="4"/>
  <c r="H590" i="4"/>
  <c r="H591" i="4"/>
  <c r="H593" i="4"/>
  <c r="H594" i="4"/>
  <c r="H595" i="4"/>
  <c r="H597" i="4"/>
  <c r="H598" i="4"/>
  <c r="H599" i="4"/>
  <c r="H600" i="4"/>
  <c r="H601" i="4"/>
  <c r="H604" i="4"/>
  <c r="H605" i="4"/>
  <c r="H606" i="4"/>
  <c r="H607" i="4"/>
  <c r="H609" i="4"/>
  <c r="H610" i="4"/>
  <c r="H611" i="4"/>
  <c r="H612" i="4"/>
  <c r="H613" i="4"/>
  <c r="H614" i="4"/>
  <c r="H615" i="4"/>
  <c r="H616" i="4"/>
  <c r="H617" i="4"/>
  <c r="H619" i="4"/>
  <c r="H620" i="4"/>
  <c r="H621" i="4"/>
  <c r="H622" i="4"/>
  <c r="H623" i="4"/>
  <c r="H624" i="4"/>
  <c r="H625" i="4"/>
  <c r="H627" i="4"/>
  <c r="H628" i="4"/>
  <c r="H629" i="4"/>
  <c r="H630" i="4"/>
  <c r="H634" i="4"/>
  <c r="H635" i="4"/>
  <c r="H636" i="4"/>
  <c r="H637" i="4"/>
  <c r="H638" i="4"/>
  <c r="H639" i="4"/>
  <c r="H641" i="4"/>
  <c r="H642" i="4"/>
  <c r="H643" i="4"/>
  <c r="H645" i="4"/>
  <c r="H646" i="4"/>
  <c r="H647" i="4"/>
  <c r="H648" i="4"/>
  <c r="H649" i="4"/>
  <c r="H651" i="4"/>
  <c r="H652" i="4"/>
  <c r="H653" i="4"/>
  <c r="H654" i="4"/>
  <c r="H656" i="4"/>
  <c r="H657" i="4"/>
  <c r="H658" i="4"/>
  <c r="H659" i="4"/>
  <c r="H660" i="4"/>
  <c r="H661" i="4"/>
  <c r="H662" i="4"/>
  <c r="H663" i="4"/>
  <c r="H664" i="4"/>
  <c r="H665" i="4"/>
  <c r="H666" i="4"/>
  <c r="H669" i="4"/>
  <c r="H670" i="4"/>
  <c r="H671" i="4"/>
  <c r="H673" i="4"/>
  <c r="H674" i="4"/>
  <c r="H675" i="4"/>
  <c r="H676" i="4"/>
  <c r="H677" i="4"/>
  <c r="H678" i="4"/>
  <c r="H680" i="4"/>
  <c r="H681" i="4"/>
  <c r="H682" i="4"/>
  <c r="H683" i="4"/>
  <c r="H685" i="4"/>
  <c r="H686" i="4"/>
  <c r="H687" i="4"/>
  <c r="H688" i="4"/>
  <c r="H690" i="4"/>
  <c r="H691" i="4"/>
  <c r="H693" i="4"/>
  <c r="H696" i="4"/>
  <c r="H697" i="4"/>
  <c r="H698" i="4"/>
  <c r="H700" i="4"/>
  <c r="H701" i="4"/>
  <c r="H702" i="4"/>
  <c r="H703" i="4"/>
  <c r="H705" i="4"/>
  <c r="H706" i="4"/>
  <c r="H708" i="4"/>
  <c r="H709" i="4"/>
  <c r="H711" i="4"/>
  <c r="H712" i="4"/>
  <c r="H713" i="4"/>
  <c r="H715" i="4"/>
  <c r="H718" i="4"/>
  <c r="H720" i="4"/>
  <c r="H721" i="4"/>
  <c r="H723" i="4"/>
  <c r="H724" i="4"/>
  <c r="H726" i="4"/>
  <c r="H727" i="4"/>
  <c r="H728" i="4"/>
  <c r="H731" i="4"/>
  <c r="H732" i="4"/>
  <c r="H733" i="4"/>
  <c r="H734" i="4"/>
  <c r="H736" i="4"/>
  <c r="H737" i="4"/>
  <c r="H738" i="4"/>
  <c r="H739" i="4"/>
  <c r="H745" i="4"/>
  <c r="H747" i="4"/>
  <c r="H748" i="4"/>
  <c r="H750" i="4"/>
  <c r="H751" i="4"/>
  <c r="H753" i="4"/>
  <c r="H754" i="4"/>
  <c r="H756" i="4"/>
  <c r="H757" i="4"/>
  <c r="H758" i="4"/>
  <c r="H759" i="4"/>
  <c r="H762" i="4"/>
  <c r="H765" i="4"/>
  <c r="H766" i="4"/>
  <c r="H768" i="4"/>
  <c r="G7" i="4"/>
  <c r="G8" i="4"/>
  <c r="G9" i="4"/>
  <c r="G10" i="4"/>
  <c r="G11" i="4"/>
  <c r="G12" i="4"/>
  <c r="G14" i="4"/>
  <c r="G15" i="4"/>
  <c r="G16" i="4"/>
  <c r="G17" i="4"/>
  <c r="G18" i="4"/>
  <c r="G19" i="4"/>
  <c r="G20" i="4"/>
  <c r="G21" i="4"/>
  <c r="G22" i="4"/>
  <c r="G23" i="4"/>
  <c r="G24" i="4"/>
  <c r="G25" i="4"/>
  <c r="G26" i="4"/>
  <c r="G27" i="4"/>
  <c r="G28" i="4"/>
  <c r="G29" i="4"/>
  <c r="G30" i="4"/>
  <c r="G31" i="4"/>
  <c r="G32" i="4"/>
  <c r="G33" i="4"/>
  <c r="G34" i="4"/>
  <c r="G36" i="4"/>
  <c r="G37" i="4"/>
  <c r="G38" i="4"/>
  <c r="G39" i="4"/>
  <c r="G41" i="4"/>
  <c r="G42" i="4"/>
  <c r="G43" i="4"/>
  <c r="G44" i="4"/>
  <c r="G47" i="4"/>
  <c r="G48" i="4"/>
  <c r="G51" i="4"/>
  <c r="G52" i="4"/>
  <c r="G53" i="4"/>
  <c r="G54" i="4"/>
  <c r="G56" i="4"/>
  <c r="G57" i="4"/>
  <c r="G58" i="4"/>
  <c r="G60" i="4"/>
  <c r="G62" i="4"/>
  <c r="G63" i="4"/>
  <c r="G64" i="4"/>
  <c r="G65" i="4"/>
  <c r="G67" i="4"/>
  <c r="G68" i="4"/>
  <c r="G69" i="4"/>
  <c r="G70" i="4"/>
  <c r="G73" i="4"/>
  <c r="G74" i="4"/>
  <c r="G75" i="4"/>
  <c r="G76" i="4"/>
  <c r="G78" i="4"/>
  <c r="G79" i="4"/>
  <c r="G80" i="4"/>
  <c r="G81" i="4"/>
  <c r="G82" i="4"/>
  <c r="G85" i="4"/>
  <c r="G86" i="4"/>
  <c r="G87" i="4"/>
  <c r="G90" i="4"/>
  <c r="G91" i="4"/>
  <c r="G92" i="4"/>
  <c r="G93" i="4"/>
  <c r="G94" i="4"/>
  <c r="G95" i="4"/>
  <c r="G96" i="4"/>
  <c r="G97" i="4"/>
  <c r="G98" i="4"/>
  <c r="G99" i="4"/>
  <c r="G100" i="4"/>
  <c r="G101" i="4"/>
  <c r="G102" i="4"/>
  <c r="G103" i="4"/>
  <c r="G104" i="4"/>
  <c r="G105" i="4"/>
  <c r="G106" i="4"/>
  <c r="G107" i="4"/>
  <c r="G108" i="4"/>
  <c r="G110" i="4"/>
  <c r="G111" i="4"/>
  <c r="G112" i="4"/>
  <c r="G113" i="4"/>
  <c r="G114" i="4"/>
  <c r="G115" i="4"/>
  <c r="G116" i="4"/>
  <c r="G117" i="4"/>
  <c r="G118" i="4"/>
  <c r="G119" i="4"/>
  <c r="G120" i="4"/>
  <c r="G121" i="4"/>
  <c r="G122" i="4"/>
  <c r="G123" i="4"/>
  <c r="G124" i="4"/>
  <c r="G125" i="4"/>
  <c r="G126" i="4"/>
  <c r="G127" i="4"/>
  <c r="G128"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7" i="4"/>
  <c r="G158" i="4"/>
  <c r="G159" i="4"/>
  <c r="G160" i="4"/>
  <c r="G161" i="4"/>
  <c r="G163" i="4"/>
  <c r="G164" i="4"/>
  <c r="G165" i="4"/>
  <c r="G168" i="4"/>
  <c r="G169" i="4"/>
  <c r="G171" i="4"/>
  <c r="G172"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2" i="4"/>
  <c r="G203" i="4"/>
  <c r="G205" i="4"/>
  <c r="G206" i="4"/>
  <c r="G207" i="4"/>
  <c r="G208" i="4"/>
  <c r="G209" i="4"/>
  <c r="G211" i="4"/>
  <c r="G212" i="4"/>
  <c r="G213" i="4"/>
  <c r="G215" i="4"/>
  <c r="G216" i="4"/>
  <c r="G217" i="4"/>
  <c r="G218" i="4"/>
  <c r="G220" i="4"/>
  <c r="G221" i="4"/>
  <c r="G222" i="4"/>
  <c r="G223" i="4"/>
  <c r="G224" i="4"/>
  <c r="G225" i="4"/>
  <c r="G227" i="4"/>
  <c r="G228" i="4"/>
  <c r="G229" i="4"/>
  <c r="G230" i="4"/>
  <c r="G231" i="4"/>
  <c r="G232" i="4"/>
  <c r="G233" i="4"/>
  <c r="G234" i="4"/>
  <c r="G235" i="4"/>
  <c r="G236" i="4"/>
  <c r="G237" i="4"/>
  <c r="G238" i="4"/>
  <c r="G240" i="4"/>
  <c r="G241" i="4"/>
  <c r="G242" i="4"/>
  <c r="G243" i="4"/>
  <c r="G244" i="4"/>
  <c r="G245" i="4"/>
  <c r="G246" i="4"/>
  <c r="G247" i="4"/>
  <c r="G248" i="4"/>
  <c r="G252" i="4"/>
  <c r="G254" i="4"/>
  <c r="G255" i="4"/>
  <c r="G256" i="4"/>
  <c r="G257" i="4"/>
  <c r="G259" i="4"/>
  <c r="G260" i="4"/>
  <c r="G261" i="4"/>
  <c r="G262" i="4"/>
  <c r="G263" i="4"/>
  <c r="G265" i="4"/>
  <c r="G266" i="4"/>
  <c r="G268" i="4"/>
  <c r="G269" i="4"/>
  <c r="G271" i="4"/>
  <c r="G272" i="4"/>
  <c r="G274" i="4"/>
  <c r="G275" i="4"/>
  <c r="G276" i="4"/>
  <c r="G277" i="4"/>
  <c r="G278" i="4"/>
  <c r="G279" i="4"/>
  <c r="G280" i="4"/>
  <c r="G281" i="4"/>
  <c r="G282" i="4"/>
  <c r="G283" i="4"/>
  <c r="G284" i="4"/>
  <c r="G285" i="4"/>
  <c r="G286" i="4"/>
  <c r="G287" i="4"/>
  <c r="G290" i="4"/>
  <c r="G291" i="4"/>
  <c r="G292" i="4"/>
  <c r="G293" i="4"/>
  <c r="G294" i="4"/>
  <c r="G295" i="4"/>
  <c r="G296" i="4"/>
  <c r="G297" i="4"/>
  <c r="G298" i="4"/>
  <c r="G300" i="4"/>
  <c r="G301" i="4"/>
  <c r="G303" i="4"/>
  <c r="G304" i="4"/>
  <c r="G305" i="4"/>
  <c r="G307" i="4"/>
  <c r="G308" i="4"/>
  <c r="G309" i="4"/>
  <c r="G310" i="4"/>
  <c r="G311" i="4"/>
  <c r="G313" i="4"/>
  <c r="G314" i="4"/>
  <c r="G315" i="4"/>
  <c r="G317" i="4"/>
  <c r="G318" i="4"/>
  <c r="G319" i="4"/>
  <c r="G321" i="4"/>
  <c r="G322" i="4"/>
  <c r="G325" i="4"/>
  <c r="G326" i="4"/>
  <c r="G327" i="4"/>
  <c r="G328" i="4"/>
  <c r="G329" i="4"/>
  <c r="G330" i="4"/>
  <c r="G331" i="4"/>
  <c r="G332" i="4"/>
  <c r="G333" i="4"/>
  <c r="G334"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4" i="4"/>
  <c r="G455" i="4"/>
  <c r="G456" i="4"/>
  <c r="G460" i="4"/>
  <c r="G461" i="4"/>
  <c r="G462" i="4"/>
  <c r="G463" i="4"/>
  <c r="G464" i="4"/>
  <c r="G465" i="4"/>
  <c r="G466" i="4"/>
  <c r="G467" i="4"/>
  <c r="G468" i="4"/>
  <c r="G469" i="4"/>
  <c r="G470" i="4"/>
  <c r="G471" i="4"/>
  <c r="G472" i="4"/>
  <c r="G475" i="4"/>
  <c r="G476" i="4"/>
  <c r="G477" i="4"/>
  <c r="G478" i="4"/>
  <c r="G479" i="4"/>
  <c r="G480" i="4"/>
  <c r="G481" i="4"/>
  <c r="G482" i="4"/>
  <c r="G483" i="4"/>
  <c r="G486" i="4"/>
  <c r="G487" i="4"/>
  <c r="G488" i="4"/>
  <c r="G489" i="4"/>
  <c r="G490" i="4"/>
  <c r="G491" i="4"/>
  <c r="G492" i="4"/>
  <c r="G493" i="4"/>
  <c r="G494" i="4"/>
  <c r="G495" i="4"/>
  <c r="G496" i="4"/>
  <c r="G498" i="4"/>
  <c r="G499" i="4"/>
  <c r="G500" i="4"/>
  <c r="G501" i="4"/>
  <c r="G502" i="4"/>
  <c r="G503" i="4"/>
  <c r="G504" i="4"/>
  <c r="G505" i="4"/>
  <c r="G508" i="4"/>
  <c r="G512" i="4"/>
  <c r="G513" i="4"/>
  <c r="G514" i="4"/>
  <c r="G515" i="4"/>
  <c r="G516" i="4"/>
  <c r="G517" i="4"/>
  <c r="G518" i="4"/>
  <c r="G519" i="4"/>
  <c r="G520" i="4"/>
  <c r="G521" i="4"/>
  <c r="G522" i="4"/>
  <c r="G523" i="4"/>
  <c r="G524" i="4"/>
  <c r="G526" i="4"/>
  <c r="G527" i="4"/>
  <c r="G528" i="4"/>
  <c r="G529" i="4"/>
  <c r="G530" i="4"/>
  <c r="G531" i="4"/>
  <c r="G532" i="4"/>
  <c r="G533" i="4"/>
  <c r="G534" i="4"/>
  <c r="G535" i="4"/>
  <c r="G536" i="4"/>
  <c r="G537" i="4"/>
  <c r="G538" i="4"/>
  <c r="G540" i="4"/>
  <c r="G541" i="4"/>
  <c r="G542" i="4"/>
  <c r="G543" i="4"/>
  <c r="G544" i="4"/>
  <c r="G545" i="4"/>
  <c r="G546" i="4"/>
  <c r="G547" i="4"/>
  <c r="G548" i="4"/>
  <c r="G549" i="4"/>
  <c r="G550" i="4"/>
  <c r="G551" i="4"/>
  <c r="G552" i="4"/>
  <c r="G553" i="4"/>
  <c r="G554" i="4"/>
  <c r="G555" i="4"/>
  <c r="G556" i="4"/>
  <c r="G557" i="4"/>
  <c r="G558" i="4"/>
  <c r="G559" i="4"/>
  <c r="G560" i="4"/>
  <c r="G562" i="4"/>
  <c r="G565" i="4"/>
  <c r="G566" i="4"/>
  <c r="G567" i="4"/>
  <c r="G568" i="4"/>
  <c r="G569" i="4"/>
  <c r="G570" i="4"/>
  <c r="G571" i="4"/>
  <c r="G572" i="4"/>
  <c r="G573" i="4"/>
  <c r="G574" i="4"/>
  <c r="G576" i="4"/>
  <c r="G577" i="4"/>
  <c r="G578" i="4"/>
  <c r="G579" i="4"/>
  <c r="G581" i="4"/>
  <c r="G582" i="4"/>
  <c r="G583" i="4"/>
  <c r="G584" i="4"/>
  <c r="G585" i="4"/>
  <c r="G587" i="4"/>
  <c r="G588" i="4"/>
  <c r="G589" i="4"/>
  <c r="G590" i="4"/>
  <c r="G591" i="4"/>
  <c r="G593" i="4"/>
  <c r="G594" i="4"/>
  <c r="G595" i="4"/>
  <c r="G597" i="4"/>
  <c r="G598" i="4"/>
  <c r="G599" i="4"/>
  <c r="G600" i="4"/>
  <c r="G601" i="4"/>
  <c r="G604" i="4"/>
  <c r="G605" i="4"/>
  <c r="G606" i="4"/>
  <c r="G607" i="4"/>
  <c r="G609" i="4"/>
  <c r="G610" i="4"/>
  <c r="G611" i="4"/>
  <c r="G612" i="4"/>
  <c r="G613" i="4"/>
  <c r="G614" i="4"/>
  <c r="G615" i="4"/>
  <c r="G616" i="4"/>
  <c r="G617" i="4"/>
  <c r="G619" i="4"/>
  <c r="G620" i="4"/>
  <c r="G621" i="4"/>
  <c r="G622" i="4"/>
  <c r="G623" i="4"/>
  <c r="G624" i="4"/>
  <c r="G625" i="4"/>
  <c r="G627" i="4"/>
  <c r="G628" i="4"/>
  <c r="G629" i="4"/>
  <c r="G630" i="4"/>
  <c r="G634" i="4"/>
  <c r="G635" i="4"/>
  <c r="G636" i="4"/>
  <c r="G637" i="4"/>
  <c r="G638" i="4"/>
  <c r="G639" i="4"/>
  <c r="G641" i="4"/>
  <c r="G642" i="4"/>
  <c r="G643" i="4"/>
  <c r="G645" i="4"/>
  <c r="G646" i="4"/>
  <c r="G647" i="4"/>
  <c r="G648" i="4"/>
  <c r="G649" i="4"/>
  <c r="G651" i="4"/>
  <c r="G652" i="4"/>
  <c r="G653" i="4"/>
  <c r="G654" i="4"/>
  <c r="G656" i="4"/>
  <c r="G657" i="4"/>
  <c r="G658" i="4"/>
  <c r="G659" i="4"/>
  <c r="G660" i="4"/>
  <c r="G661" i="4"/>
  <c r="G662" i="4"/>
  <c r="G663" i="4"/>
  <c r="G664" i="4"/>
  <c r="G665" i="4"/>
  <c r="G666" i="4"/>
  <c r="G669" i="4"/>
  <c r="G670" i="4"/>
  <c r="G671" i="4"/>
  <c r="G673" i="4"/>
  <c r="G674" i="4"/>
  <c r="G675" i="4"/>
  <c r="G676" i="4"/>
  <c r="G677" i="4"/>
  <c r="G678" i="4"/>
  <c r="G680" i="4"/>
  <c r="G681" i="4"/>
  <c r="G682" i="4"/>
  <c r="G683" i="4"/>
  <c r="G685" i="4"/>
  <c r="G686" i="4"/>
  <c r="G687" i="4"/>
  <c r="G688" i="4"/>
  <c r="G690" i="4"/>
  <c r="G691" i="4"/>
  <c r="G693" i="4"/>
  <c r="G696" i="4"/>
  <c r="G697" i="4"/>
  <c r="G698" i="4"/>
  <c r="G700" i="4"/>
  <c r="G701" i="4"/>
  <c r="G702" i="4"/>
  <c r="G703" i="4"/>
  <c r="G705" i="4"/>
  <c r="G706" i="4"/>
  <c r="G708" i="4"/>
  <c r="G709" i="4"/>
  <c r="G711" i="4"/>
  <c r="G712" i="4"/>
  <c r="G713" i="4"/>
  <c r="G715" i="4"/>
  <c r="G718" i="4"/>
  <c r="G720" i="4"/>
  <c r="G721" i="4"/>
  <c r="G723" i="4"/>
  <c r="G724" i="4"/>
  <c r="G726" i="4"/>
  <c r="G727" i="4"/>
  <c r="G728" i="4"/>
  <c r="G731" i="4"/>
  <c r="G732" i="4"/>
  <c r="G733" i="4"/>
  <c r="G734" i="4"/>
  <c r="G736" i="4"/>
  <c r="G737" i="4"/>
  <c r="G738" i="4"/>
  <c r="G739" i="4"/>
  <c r="G745" i="4"/>
  <c r="G747" i="4"/>
  <c r="G748" i="4"/>
  <c r="G750" i="4"/>
  <c r="G751" i="4"/>
  <c r="G753" i="4"/>
  <c r="G754" i="4"/>
  <c r="G756" i="4"/>
  <c r="G757" i="4"/>
  <c r="G758" i="4"/>
  <c r="G759" i="4"/>
  <c r="G762" i="4"/>
  <c r="G765" i="4"/>
  <c r="G766" i="4"/>
  <c r="G768" i="4"/>
  <c r="G3" i="4"/>
  <c r="H3" i="4" s="1"/>
  <c r="G4" i="4"/>
  <c r="H4" i="4" s="1"/>
  <c r="G5" i="4"/>
  <c r="H5" i="4" s="1"/>
  <c r="G6" i="4"/>
  <c r="H6" i="4" s="1"/>
  <c r="G13" i="4"/>
  <c r="H13" i="4" s="1"/>
  <c r="G35" i="4"/>
  <c r="H35" i="4" s="1"/>
  <c r="G40" i="4"/>
  <c r="H40" i="4" s="1"/>
  <c r="G45" i="4"/>
  <c r="H45" i="4" s="1"/>
  <c r="G46" i="4"/>
  <c r="H46" i="4" s="1"/>
  <c r="G49" i="4"/>
  <c r="H49" i="4" s="1"/>
  <c r="G50" i="4"/>
  <c r="H50" i="4" s="1"/>
  <c r="G55" i="4"/>
  <c r="H55" i="4" s="1"/>
  <c r="G59" i="4"/>
  <c r="H59" i="4" s="1"/>
  <c r="G61" i="4"/>
  <c r="H61" i="4" s="1"/>
  <c r="G66" i="4"/>
  <c r="H66" i="4" s="1"/>
  <c r="G71" i="4"/>
  <c r="H71" i="4" s="1"/>
  <c r="G72" i="4"/>
  <c r="H72" i="4" s="1"/>
  <c r="G77" i="4"/>
  <c r="H77" i="4" s="1"/>
  <c r="G83" i="4"/>
  <c r="H83" i="4" s="1"/>
  <c r="G84" i="4"/>
  <c r="H84" i="4" s="1"/>
  <c r="G88" i="4"/>
  <c r="H88" i="4" s="1"/>
  <c r="G89" i="4"/>
  <c r="H89" i="4" s="1"/>
  <c r="G109" i="4"/>
  <c r="H109" i="4" s="1"/>
  <c r="G129" i="4"/>
  <c r="H129" i="4" s="1"/>
  <c r="G130" i="4"/>
  <c r="H130" i="4" s="1"/>
  <c r="G156" i="4"/>
  <c r="H156" i="4" s="1"/>
  <c r="G162" i="4"/>
  <c r="H162" i="4" s="1"/>
  <c r="G166" i="4"/>
  <c r="H166" i="4" s="1"/>
  <c r="G167" i="4"/>
  <c r="H167" i="4" s="1"/>
  <c r="G170" i="4"/>
  <c r="H170" i="4" s="1"/>
  <c r="G173" i="4"/>
  <c r="H173" i="4" s="1"/>
  <c r="G201" i="4"/>
  <c r="H201" i="4" s="1"/>
  <c r="G204" i="4"/>
  <c r="H204" i="4" s="1"/>
  <c r="G210" i="4"/>
  <c r="H210" i="4" s="1"/>
  <c r="G214" i="4"/>
  <c r="H214" i="4" s="1"/>
  <c r="G219" i="4"/>
  <c r="H219" i="4" s="1"/>
  <c r="G226" i="4"/>
  <c r="H226" i="4" s="1"/>
  <c r="G239" i="4"/>
  <c r="H239" i="4" s="1"/>
  <c r="G249" i="4"/>
  <c r="H249" i="4" s="1"/>
  <c r="G250" i="4"/>
  <c r="H250" i="4" s="1"/>
  <c r="G251" i="4"/>
  <c r="H251" i="4" s="1"/>
  <c r="G253" i="4"/>
  <c r="H253" i="4" s="1"/>
  <c r="G258" i="4"/>
  <c r="H258" i="4" s="1"/>
  <c r="G264" i="4"/>
  <c r="H264" i="4" s="1"/>
  <c r="G267" i="4"/>
  <c r="H267" i="4" s="1"/>
  <c r="G270" i="4"/>
  <c r="H270" i="4" s="1"/>
  <c r="G273" i="4"/>
  <c r="H273" i="4" s="1"/>
  <c r="G288" i="4"/>
  <c r="H288" i="4" s="1"/>
  <c r="G289" i="4"/>
  <c r="H289" i="4" s="1"/>
  <c r="G299" i="4"/>
  <c r="H299" i="4" s="1"/>
  <c r="G302" i="4"/>
  <c r="H302" i="4" s="1"/>
  <c r="G306" i="4"/>
  <c r="H306" i="4" s="1"/>
  <c r="G312" i="4"/>
  <c r="H312" i="4" s="1"/>
  <c r="G316" i="4"/>
  <c r="H316" i="4" s="1"/>
  <c r="G320" i="4"/>
  <c r="H320" i="4" s="1"/>
  <c r="G323" i="4"/>
  <c r="H323" i="4" s="1"/>
  <c r="G324" i="4"/>
  <c r="H324" i="4" s="1"/>
  <c r="G335" i="4"/>
  <c r="H335" i="4" s="1"/>
  <c r="G336" i="4"/>
  <c r="H336" i="4" s="1"/>
  <c r="G337" i="4"/>
  <c r="H337" i="4" s="1"/>
  <c r="G374" i="4"/>
  <c r="H374" i="4" s="1"/>
  <c r="G414" i="4"/>
  <c r="H414" i="4" s="1"/>
  <c r="G453" i="4"/>
  <c r="H453" i="4" s="1"/>
  <c r="G457" i="4"/>
  <c r="H457" i="4" s="1"/>
  <c r="G458" i="4"/>
  <c r="H458" i="4" s="1"/>
  <c r="G459" i="4"/>
  <c r="H459" i="4" s="1"/>
  <c r="G473" i="4"/>
  <c r="H473" i="4" s="1"/>
  <c r="G474" i="4"/>
  <c r="H474" i="4" s="1"/>
  <c r="G484" i="4"/>
  <c r="H484" i="4" s="1"/>
  <c r="G485" i="4"/>
  <c r="H485" i="4" s="1"/>
  <c r="G497" i="4"/>
  <c r="H497" i="4" s="1"/>
  <c r="G506" i="4"/>
  <c r="H506" i="4" s="1"/>
  <c r="G507" i="4"/>
  <c r="H507" i="4" s="1"/>
  <c r="G509" i="4"/>
  <c r="H509" i="4" s="1"/>
  <c r="G510" i="4"/>
  <c r="H510" i="4" s="1"/>
  <c r="G511" i="4"/>
  <c r="H511" i="4" s="1"/>
  <c r="G525" i="4"/>
  <c r="H525" i="4" s="1"/>
  <c r="G539" i="4"/>
  <c r="H539" i="4" s="1"/>
  <c r="G561" i="4"/>
  <c r="H561" i="4" s="1"/>
  <c r="G563" i="4"/>
  <c r="H563" i="4" s="1"/>
  <c r="G564" i="4"/>
  <c r="H564" i="4" s="1"/>
  <c r="G575" i="4"/>
  <c r="H575" i="4" s="1"/>
  <c r="G580" i="4"/>
  <c r="H580" i="4" s="1"/>
  <c r="G586" i="4"/>
  <c r="H586" i="4" s="1"/>
  <c r="G592" i="4"/>
  <c r="H592" i="4" s="1"/>
  <c r="G596" i="4"/>
  <c r="H596" i="4" s="1"/>
  <c r="G602" i="4"/>
  <c r="H602" i="4" s="1"/>
  <c r="G603" i="4"/>
  <c r="H603" i="4" s="1"/>
  <c r="G608" i="4"/>
  <c r="H608" i="4" s="1"/>
  <c r="G618" i="4"/>
  <c r="H618" i="4" s="1"/>
  <c r="G626" i="4"/>
  <c r="H626" i="4" s="1"/>
  <c r="G631" i="4"/>
  <c r="H631" i="4" s="1"/>
  <c r="G632" i="4"/>
  <c r="H632" i="4" s="1"/>
  <c r="G633" i="4"/>
  <c r="H633" i="4" s="1"/>
  <c r="G640" i="4"/>
  <c r="H640" i="4" s="1"/>
  <c r="G644" i="4"/>
  <c r="H644" i="4" s="1"/>
  <c r="G650" i="4"/>
  <c r="H650" i="4" s="1"/>
  <c r="G655" i="4"/>
  <c r="H655" i="4" s="1"/>
  <c r="G667" i="4"/>
  <c r="H667" i="4" s="1"/>
  <c r="G668" i="4"/>
  <c r="H668" i="4" s="1"/>
  <c r="G672" i="4"/>
  <c r="H672" i="4" s="1"/>
  <c r="G679" i="4"/>
  <c r="H679" i="4" s="1"/>
  <c r="G684" i="4"/>
  <c r="H684" i="4" s="1"/>
  <c r="G689" i="4"/>
  <c r="H689" i="4" s="1"/>
  <c r="G692" i="4"/>
  <c r="H692" i="4" s="1"/>
  <c r="G694" i="4"/>
  <c r="H694" i="4" s="1"/>
  <c r="G695" i="4"/>
  <c r="H695" i="4" s="1"/>
  <c r="G699" i="4"/>
  <c r="H699" i="4" s="1"/>
  <c r="G704" i="4"/>
  <c r="H704" i="4" s="1"/>
  <c r="G707" i="4"/>
  <c r="H707" i="4" s="1"/>
  <c r="G710" i="4"/>
  <c r="H710" i="4" s="1"/>
  <c r="G714" i="4"/>
  <c r="H714" i="4" s="1"/>
  <c r="G716" i="4"/>
  <c r="H716" i="4" s="1"/>
  <c r="G717" i="4"/>
  <c r="H717" i="4" s="1"/>
  <c r="G719" i="4"/>
  <c r="H719" i="4" s="1"/>
  <c r="G722" i="4"/>
  <c r="H722" i="4" s="1"/>
  <c r="G725" i="4"/>
  <c r="H725" i="4" s="1"/>
  <c r="G729" i="4"/>
  <c r="H729" i="4" s="1"/>
  <c r="G730" i="4"/>
  <c r="H730" i="4" s="1"/>
  <c r="G735" i="4"/>
  <c r="H735" i="4" s="1"/>
  <c r="G740" i="4"/>
  <c r="H740" i="4" s="1"/>
  <c r="G741" i="4"/>
  <c r="H741" i="4" s="1"/>
  <c r="G742" i="4"/>
  <c r="H742" i="4" s="1"/>
  <c r="G743" i="4"/>
  <c r="H743" i="4" s="1"/>
  <c r="G744" i="4"/>
  <c r="H744" i="4" s="1"/>
  <c r="G746" i="4"/>
  <c r="H746" i="4" s="1"/>
  <c r="G749" i="4"/>
  <c r="H749" i="4" s="1"/>
  <c r="G752" i="4"/>
  <c r="H752" i="4" s="1"/>
  <c r="G755" i="4"/>
  <c r="H755" i="4" s="1"/>
  <c r="G760" i="4"/>
  <c r="H760" i="4" s="1"/>
  <c r="G761" i="4"/>
  <c r="H761" i="4" s="1"/>
  <c r="G763" i="4"/>
  <c r="H763" i="4" s="1"/>
  <c r="G764" i="4"/>
  <c r="H764" i="4" s="1"/>
  <c r="G767" i="4"/>
  <c r="H76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користувач</author>
  </authors>
  <commentList>
    <comment ref="N55" authorId="0" shapeId="0" xr:uid="{B7CE010C-6BC5-4C93-8CDB-CB926219E59B}">
      <text>
        <r>
          <rPr>
            <b/>
            <sz val="9"/>
            <color indexed="81"/>
            <rFont val="Tahoma"/>
            <family val="2"/>
            <charset val="204"/>
          </rPr>
          <t>користувач:</t>
        </r>
        <r>
          <rPr>
            <sz val="9"/>
            <color indexed="81"/>
            <rFont val="Tahoma"/>
            <family val="2"/>
            <charset val="204"/>
          </rPr>
          <t xml:space="preserve">
</t>
        </r>
      </text>
    </comment>
    <comment ref="N70" authorId="0" shapeId="0" xr:uid="{72B843A1-2CB7-4B51-963E-A063543B7995}">
      <text>
        <r>
          <rPr>
            <b/>
            <sz val="9"/>
            <color indexed="81"/>
            <rFont val="Tahoma"/>
            <family val="2"/>
            <charset val="204"/>
          </rPr>
          <t>користувач:</t>
        </r>
        <r>
          <rPr>
            <sz val="9"/>
            <color indexed="81"/>
            <rFont val="Tahoma"/>
            <family val="2"/>
            <charset val="204"/>
          </rPr>
          <t xml:space="preserve">
додав</t>
        </r>
      </text>
    </comment>
  </commentList>
</comments>
</file>

<file path=xl/sharedStrings.xml><?xml version="1.0" encoding="utf-8"?>
<sst xmlns="http://schemas.openxmlformats.org/spreadsheetml/2006/main" count="3456" uniqueCount="935">
  <si>
    <t>Наслідок CSF (Функція, категорія або підкатегорія)</t>
  </si>
  <si>
    <t>NIST CSF 1.1 Reference</t>
  </si>
  <si>
    <t>Опис наслідку CSF</t>
  </si>
  <si>
    <t>Включено в профіль?</t>
  </si>
  <si>
    <t>Обгрунтування</t>
  </si>
  <si>
    <t>Поточний пріоритет</t>
  </si>
  <si>
    <t xml:space="preserve">NIST SP 800-61r3 ipd </t>
  </si>
  <si>
    <t>Поточний стан</t>
  </si>
  <si>
    <t>Поточні політики, процеси та процедури</t>
  </si>
  <si>
    <t>Поточні внутрішні практики</t>
  </si>
  <si>
    <t>Поточні ролі та обов'язки</t>
  </si>
  <si>
    <t>Поточні обрані інформативні посилання</t>
  </si>
  <si>
    <t>Поточні артефакти та докази</t>
  </si>
  <si>
    <t>Цільовий пріоритет</t>
  </si>
  <si>
    <t>Цільовий рівень CSF</t>
  </si>
  <si>
    <t>Цільові політики, процеси та процедури</t>
  </si>
  <si>
    <t>Цільові внутрішні практики</t>
  </si>
  <si>
    <t>Цільові ролі та обов'язки</t>
  </si>
  <si>
    <t>Цільові обрані інформативні посилання</t>
  </si>
  <si>
    <t>GV.OC-01</t>
  </si>
  <si>
    <t>ID.BE-2</t>
  </si>
  <si>
    <t>The organizational mission is understood and informs cybersecurity risk management</t>
  </si>
  <si>
    <t>забезпечити усвідомлення органами державної влади, підприємствами, установами, організаціями будь-якої форми власності, юридичною та/або фізичною особою, якому/якій на правах власності, оренди або на інших законних підставах належить об’єкт кіберзахисту або який/яка відповідає за його поточне функціонування (далі – організація), які здійснюють управління ризиками кібербезпеки, місії організації.</t>
  </si>
  <si>
    <t>No</t>
  </si>
  <si>
    <t>GV.OC-02</t>
  </si>
  <si>
    <t>ID.SC-2</t>
  </si>
  <si>
    <t>Internal and external stakeholders are understood, and their needs and expectations regarding cybersecurity risk management are understood and considered</t>
  </si>
  <si>
    <t>внутрішні та зовнішні заінтересовані сторони усвідомили, а їхні потреби та очікування від впровадження управління ризиками кібербезпеки визначені та впроваджені.</t>
  </si>
  <si>
    <t>GV.OC-03</t>
  </si>
  <si>
    <t>ID.GV-3</t>
  </si>
  <si>
    <t>Legal, regulatory, and contractual requirements regarding cybersecurity - including privacy and civil liberties obligations - are understood and managed</t>
  </si>
  <si>
    <t>визначити та забезпечити виконання персоналом існуючих законодавчих, нормативних та договірних вимог, а також вимог організації щодо кібербезпеки, включаючи вимоги щодо нерозголошення конфіденційної інформації та захисту прав та свобод.</t>
  </si>
  <si>
    <t>GV.OC-04</t>
  </si>
  <si>
    <t>ID.BE-4</t>
  </si>
  <si>
    <t>Critical objectives, capabilities, and services that stakeholders depend on or expect from the organization are understood and communicated</t>
  </si>
  <si>
    <t>визначити ключові цілі, критичні послуги та спроможності, які очікуються постачальниками від організації, що доведені та усвідомлені її персоналом.</t>
  </si>
  <si>
    <t>GV.OC-05</t>
  </si>
  <si>
    <t>ID.BE-1</t>
  </si>
  <si>
    <t>Outcomes, capabilities, and services that the organization depends on are understood and communicated</t>
  </si>
  <si>
    <t>визначити наслідки, спроможності та послуги, від яких залежить діяльність організації, довести та забезпечити їх усвідомлення персоналом.</t>
  </si>
  <si>
    <t>GV.RM-01</t>
  </si>
  <si>
    <t>ID.RM-1</t>
  </si>
  <si>
    <t>Risk management objectives are established and agreed to by organizational stakeholders</t>
  </si>
  <si>
    <t>визначити та узгодити із заінтересованими сторонами організації цілі управління ризиками.</t>
  </si>
  <si>
    <t>GV.RM-02</t>
  </si>
  <si>
    <t>ID.RM-2</t>
  </si>
  <si>
    <t>Risk appetite and risk tolerance statements are established, communicated, and maintained</t>
  </si>
  <si>
    <t>визначити допустимий рівень ризику, який суб’єкт забезпечення кібербезпеки може прийняти, довести до відома всіх співробітників та заінтересованих сторін та підтримувати таку інформацію в актуальному стані.</t>
  </si>
  <si>
    <t>GV.RM-03</t>
  </si>
  <si>
    <t>ID.GV-4</t>
  </si>
  <si>
    <t>Cybersecurity risk management activities and outcomes are included in enterprise risk management processes</t>
  </si>
  <si>
    <t>додати до процесів управління ризиками організації діяльність з управління ризиками кібербезпеки та досягнення її цілей.</t>
  </si>
  <si>
    <t>GV.RM-04</t>
  </si>
  <si>
    <t>Strategic direction that describes appropriate risk response options is established and communicated</t>
  </si>
  <si>
    <t>визначити та довести до відома персоналу стратегічні напрями, які описують відповідні варіанти реагування на ризики.</t>
  </si>
  <si>
    <t>GV.RM-05</t>
  </si>
  <si>
    <t>ID.SC-1</t>
  </si>
  <si>
    <t>Lines of communication across the organization are established for cybersecurity risks, including risks from suppliers and other third parties</t>
  </si>
  <si>
    <t>визначити та довести до відома персоналу способи обміну інформацією всередині організації щодо ризиків кібербезпеки, включаючи ризики, які несуть постачальники та інші треті сторони.</t>
  </si>
  <si>
    <t>GV.RM-06</t>
  </si>
  <si>
    <t>A standardized method for calculating, documenting, categorizing, and prioritizing cybersecurity risks is established and communicated</t>
  </si>
  <si>
    <t>визначити та довести до відома персоналу стандартизовані методи розрахунку, документування, ідентифікації та визначення пріоритетності ризиків кібербезпеки.</t>
  </si>
  <si>
    <t>GV.RM-07</t>
  </si>
  <si>
    <t>Strategic opportunities (i.e., positive risks) are characterized and are included in organizational cybersecurity risk discussions</t>
  </si>
  <si>
    <t>визначити, охарактеризувати та забезпечувати обговорення зі співробітниками організації стратегічних можливостей щодо управління ризиками кібербезпеки.</t>
  </si>
  <si>
    <t>GV.RR-01</t>
  </si>
  <si>
    <t>Organizational leadership is responsible and accountable for cybersecurity risk and fosters a culture that is risk-aware, ethical, and continually improving</t>
  </si>
  <si>
    <t>визначити із числа керівництва організації посадову особу, яка звітує про ризики кібербезпеки та підтримання культури поведінки щодо усвідомлення ризиків та етики, її постійне вдосконалення, а також відповідає за них.</t>
  </si>
  <si>
    <t>GV.RR-02</t>
  </si>
  <si>
    <t>ID.AM-6</t>
  </si>
  <si>
    <t>Roles, responsibilities, and authorities related to cybersecurity risk management are established, communicated, understood, and enforced</t>
  </si>
  <si>
    <t>визначити ролі, відповідальність та державні органи (підрозділи), залучені до управління ризиками кібербезпеки, забезпечити їх розуміння персоналом і здійснювати контроль за їх дотриманням.</t>
  </si>
  <si>
    <t>GV.RR-03</t>
  </si>
  <si>
    <t>Adequate resources are allocated commensurate with the cybersecurity risk strategy, roles, responsibilities, and policies</t>
  </si>
  <si>
    <t>визначити необхідні ресурси відповідно до стратегії управління ризиками кібербезпеки, ролей, відповідальності та політик.</t>
  </si>
  <si>
    <t>GV.RR-04</t>
  </si>
  <si>
    <t>PR.IP-11</t>
  </si>
  <si>
    <t>Cybersecurity is included in human resources practices</t>
  </si>
  <si>
    <t>додати кібербезпеку до практик управління людськими ресурсами.</t>
  </si>
  <si>
    <t>GV.PO-01</t>
  </si>
  <si>
    <t>ID.GV-1</t>
  </si>
  <si>
    <t>Policy for managing cybersecurity risks is established based on organizational context, cybersecurity strategy, and priorities and is communicated and enforced</t>
  </si>
  <si>
    <t>розробити та довести до відома персоналу організації політику управління ризиками кібербезпеки, яка визначена з урахуванням структури організації, стратегії кібербезпеки та пріоритетів.</t>
  </si>
  <si>
    <t>GV.PO-02</t>
  </si>
  <si>
    <t>Policy for managing cybersecurity risks is reviewed, updated, communicated, and enforced to reflect changes in requirements, threats, technology, and organizational mission</t>
  </si>
  <si>
    <t>забезпечити періодичний перегляд, оновлення, доведення та виконання політики управління ризиками кібербезпеки з урахуванням змін нормативних вимог, загроз, технологій та місії організації.</t>
  </si>
  <si>
    <t>GV.OV-01</t>
  </si>
  <si>
    <t>Cybersecurity risk management strategy outcomes are reviewed to inform and adjust strategy and direction</t>
  </si>
  <si>
    <t>забезпечити врахування результатів стратегії управління ризиками кібербезпеки для вдосконалення та коригування її напрямів.</t>
  </si>
  <si>
    <t>GV.OV-02</t>
  </si>
  <si>
    <t>The cybersecurity risk management strategy is reviewed and adjusted to ensure coverage of organizational requirements and risks</t>
  </si>
  <si>
    <t>забезпечити перегляд та коригування стратегії управління ризиками кібербезпеки для забезпечення охоплення нею вимог організації та ризиків.</t>
  </si>
  <si>
    <t>GV.OV-03</t>
  </si>
  <si>
    <t>Organizational cybersecurity risk management performance is evaluated and reviewed for adjustments needed</t>
  </si>
  <si>
    <t>забезпечити оцінювання продуктивності управління ризиками кібербезпеки для перегляду, внесення необхідних коригувань відповідно до поточних потреб.</t>
  </si>
  <si>
    <t>GV.SC-01</t>
  </si>
  <si>
    <t>A cybersecurity supply chain risk management program, strategy, objectives, policies, and processes are established and agreed to by organizational stakeholders</t>
  </si>
  <si>
    <t>розробити програму, стратегію, цілі, політики та процеси управління ризиками кібербезпеки, пов’язаними з ланцюгами постачання, погодити їх із заінтересованими сторонами організації.</t>
  </si>
  <si>
    <t>GV.SC-02</t>
  </si>
  <si>
    <t>Cybersecurity roles and responsibilities for suppliers, customers, and partners are established, communicated, and coordinated internally and externally</t>
  </si>
  <si>
    <t>розробити, довести, здійснювати внутрішню та зовнішню координацію ролей з кібербезпеки при їх виконанні постачальниками, користувачами та партнерами організації.</t>
  </si>
  <si>
    <t>GV.SC-03</t>
  </si>
  <si>
    <t>Cybersecurity supply chain risk management is integrated into cybersecurity and enterprise risk management, risk assessment, and improvement processes</t>
  </si>
  <si>
    <t>забезпечити інтеграцію управління ризиками ланцюга постачання у сфері кібербезпеки в процеси управління ризиками кібербезпеки організації, оцінку ризиків і їх вдосконалення.</t>
  </si>
  <si>
    <t>GV.SC-04</t>
  </si>
  <si>
    <t>Suppliers are known and prioritized by criticality</t>
  </si>
  <si>
    <t>визначити та пріоритизувати постачальників за ступенем критичності.</t>
  </si>
  <si>
    <t>GV.SC-05</t>
  </si>
  <si>
    <t>ID.SC-3</t>
  </si>
  <si>
    <t>Requirements to address cybersecurity risks in supply chains are established, prioritized, and integrated into contracts and other types of agreements with suppliers and other relevant third parties</t>
  </si>
  <si>
    <t>встановити вимоги, пов’язані з ризиками кібербезпеки в ланцюгах постачання, та впровадити їх в договори/контракти або інші типи договорів з постачальниками та відповідними третіми сторонами.</t>
  </si>
  <si>
    <t>GV.SC-06</t>
  </si>
  <si>
    <t>Planning and due diligence are performed to reduce risks before entering into formal supplier or other third-party relationships</t>
  </si>
  <si>
    <t>забезпечити планування та комплексну перевірку постачальників або інших третіх сторін для зменшення ризиків перед початком договірних відносин з ними.</t>
  </si>
  <si>
    <t>GV.SC-07</t>
  </si>
  <si>
    <t>The risks posed by a supplier, their products and services, and other third parties are understood, recorded, prioritized, assessed, responded to, and monitored over the course of the relationship</t>
  </si>
  <si>
    <t>визначити ризики, пов’язані з постачальником, його продукцією та послугами, які він надає, з іншими третіми сторонами, усвідомити їх, зареєструвати, пріоритизувати та забезпечити реагування на них і контроль протягом всієї співпраці.</t>
  </si>
  <si>
    <t>GV.SC-08</t>
  </si>
  <si>
    <t>ID.SC-5</t>
  </si>
  <si>
    <t>Relevant suppliers and other third parties are included in incident planning, response, and recovery activities</t>
  </si>
  <si>
    <t>забезпечити залучення відповідних постачальників та інших третіх сторін до діяльності щодо планування, реагування та відновлення після інцидентів.</t>
  </si>
  <si>
    <t>GV.SC-09</t>
  </si>
  <si>
    <t>Supply chain security practices are integrated into cybersecurity and enterprise risk management programs, and their performance is monitored throughout the technology product and service life cycle</t>
  </si>
  <si>
    <t>інтегрувати практичні заходи щодо забезпечення безпеки ланцюга постачання в програми організації щодо кібербезпеки та управління ризиками, контролювати їх ефективність протягом всього життєвого циклу користування продуктами та послугами, які суб’єкт отримує від постачальника чи інших третіх сторін.</t>
  </si>
  <si>
    <t>GV.SC-10</t>
  </si>
  <si>
    <t>Cybersecurity supply chain risk management plans include provisions for activities that occur after the conclusion of a partnership or service agreement</t>
  </si>
  <si>
    <t>передбачити в планах управління ризиками кібербезпеки, пов’язаними з ланцюгами постачання, порядок дій, які необхідно виконати після прийняття рішення щодо партнерства або укладання договору про надання послуг.</t>
  </si>
  <si>
    <t>ID.AM-01</t>
  </si>
  <si>
    <t>ID.AM-1</t>
  </si>
  <si>
    <t>Inventories of hardware managed by the organization are maintained</t>
  </si>
  <si>
    <t>забезпечити періодичне проведення інвентаризації обладнання, яким керує організація.</t>
  </si>
  <si>
    <t>ID.AM-02</t>
  </si>
  <si>
    <t>ID.AM-2</t>
  </si>
  <si>
    <t>Inventories of software, services, and systems managed by the organization are maintained</t>
  </si>
  <si>
    <t>забезпечити періодичне проведення інвентаризації програмного забезпечення, послуг і систем, якими керує організація.</t>
  </si>
  <si>
    <t>ID.AM-03</t>
  </si>
  <si>
    <t>ID.AM-3</t>
  </si>
  <si>
    <t>Representations of the organization's authorized network communication and internal and external network data flows are maintained</t>
  </si>
  <si>
    <t>забезпечити підтримку використання авторизованих мережевих з’єднань та визначити внутрішні і зовнішні мережеві потоки.</t>
  </si>
  <si>
    <t>ID.AM-04</t>
  </si>
  <si>
    <t>ID.AM-4</t>
  </si>
  <si>
    <t>Inventories of services provided by suppliers are maintained</t>
  </si>
  <si>
    <t>забезпечити періодичне проведення інвентаризації послуг, що надаються постачальниками.</t>
  </si>
  <si>
    <t>ID.AM-05</t>
  </si>
  <si>
    <t>ID.AM-5</t>
  </si>
  <si>
    <t>Assets are prioritized based on classification, criticality, resources, and impact on the mission</t>
  </si>
  <si>
    <t>здійснити пріоритизацію активів за їх класифікацією, критичністю, ресурсами, впливом на місію організації.</t>
  </si>
  <si>
    <t>ID.AM-07</t>
  </si>
  <si>
    <t>Inventories of data and corresponding metadata for designated data types are maintained</t>
  </si>
  <si>
    <t>забезпечити інвентаризацію даних і пов’язаних з ними метаданих відповідно до визначених типів даних.</t>
  </si>
  <si>
    <t>ID.AM-08</t>
  </si>
  <si>
    <t>PR.DS-3</t>
  </si>
  <si>
    <t>Systems, hardware, software, services, and data are managed throughout their life cycles</t>
  </si>
  <si>
    <t>забезпечити управління системами, апаратним та програмним забезпеченням, послугами та даними протягом усього їх життєвого циклу.</t>
  </si>
  <si>
    <t>ID.RA-01</t>
  </si>
  <si>
    <t>ID.RA-1</t>
  </si>
  <si>
    <t>Vulnerabilities in assets are identified, validated, and recorded</t>
  </si>
  <si>
    <t>ідентифікувати, підтверджувати та вести записи щодо вразливих місць активів.</t>
  </si>
  <si>
    <t>ID.RA-02</t>
  </si>
  <si>
    <t>ID.RA-2</t>
  </si>
  <si>
    <t>Cyber threat intelligence is received from information sharing forums and sources</t>
  </si>
  <si>
    <t>організувати отримання інформації про загрози безпеки та вразливості з форумів обміну інформацією та офіційних джерел.</t>
  </si>
  <si>
    <t>ID.RA-03</t>
  </si>
  <si>
    <t>ID.RA-3</t>
  </si>
  <si>
    <t>Internal and external threats to the organization are identified and recorded</t>
  </si>
  <si>
    <t>визначити та задокументувати внутрішні та зовнішні загрози.</t>
  </si>
  <si>
    <t>ID.RA-04</t>
  </si>
  <si>
    <t>ID.RA-4</t>
  </si>
  <si>
    <t>Potential impacts and likelihoods of threats exploiting vulnerabilities are identified and recorded</t>
  </si>
  <si>
    <t>визначити та задокументувати потенційні наслідки та вірогідні загрози, пов’язані з експлуатацією вразливостей.</t>
  </si>
  <si>
    <t>ID.RA-05</t>
  </si>
  <si>
    <t>ID.RA-5</t>
  </si>
  <si>
    <t>Threats, vulnerabilities, likelihoods, and impacts are used to understand inherent risk and inform risk response prioritization</t>
  </si>
  <si>
    <t>забезпечити використання інформації про вірогідні загрози, вразливості та можливі наслідки від їх настання для розуміння невід’ємного ризику та інформування про пріоритетність реагування на ризики.</t>
  </si>
  <si>
    <t>ID.RA-06</t>
  </si>
  <si>
    <t>ID.RA-6</t>
  </si>
  <si>
    <t>Risk responses are chosen, prioritized, planned, tracked, and communicated</t>
  </si>
  <si>
    <t>визначити заходи реагування на ризики кібербезпеки та встановити їх пріоритетність, забезпечити їх відслідковування та комунікацію щодо них.</t>
  </si>
  <si>
    <t>ID.RA-07</t>
  </si>
  <si>
    <t>PR.IP-3</t>
  </si>
  <si>
    <t>Changes and exceptions are managed, assessed for risk impact, recorded, and tracked</t>
  </si>
  <si>
    <t>забезпечити управління, оцінювання на предмет ризику, реєстрацію та відстеження змін та винятків до затвердженої документації.</t>
  </si>
  <si>
    <t>ID.RA-08</t>
  </si>
  <si>
    <t>RS.AN-5</t>
  </si>
  <si>
    <t>Processes for receiving, analyzing, and responding to vulnerability disclosures are established</t>
  </si>
  <si>
    <t>визначити процеси отримання, аналізу та реагування на опубліковані повідомлення про виявлені вразливості.</t>
  </si>
  <si>
    <t>ID.RA-09</t>
  </si>
  <si>
    <t>PR.DS-8</t>
  </si>
  <si>
    <t>The authenticity and integrity of hardware and software are assessed prior to acquisition and use</t>
  </si>
  <si>
    <t>проводити перевірку автентичності і цілісності обладнання та програмного забезпечення перед його придбанням і використанням.</t>
  </si>
  <si>
    <t>ID.RA-10</t>
  </si>
  <si>
    <t>Critical suppliers are assessed prior to acquisition</t>
  </si>
  <si>
    <t>забезпечити проведення оцінювання постачальників перед придбанням у них критично важливих для організації продуктів і послуг.</t>
  </si>
  <si>
    <t>ID.IM-01</t>
  </si>
  <si>
    <t>Improvements are identified from evaluations</t>
  </si>
  <si>
    <t>визначити напрями удосконалення за результатами проведеного оцінювання стану кіберзахисту.</t>
  </si>
  <si>
    <t>ID.IM-02</t>
  </si>
  <si>
    <t>Improvements are identified from security tests and exercises, including those done in coordination with suppliers and relevant third parties</t>
  </si>
  <si>
    <t>визначити напрями удосконалення за результатами тестування безпеки та навчальних вправ, включаючи їх виконання у взаємодії з постачальниками та відповідними третіми сторонами.</t>
  </si>
  <si>
    <t>ID.IM-03</t>
  </si>
  <si>
    <t>PR.IP-7</t>
  </si>
  <si>
    <t>Improvements are identified from execution of operational processes, procedures, and activities</t>
  </si>
  <si>
    <t>визначати покращення під час виконання операційних процесів, процедур і дій.</t>
  </si>
  <si>
    <t>ID.IM-04</t>
  </si>
  <si>
    <t>PR.IP-9</t>
  </si>
  <si>
    <t>Incident response plans and other cybersecurity plans that affect operations are established, communicated, maintained, and improved</t>
  </si>
  <si>
    <t>розробити, затвердити, довести до відома персоналу, переглядати та удосконалювати Плани реагування на інциденти та інші плани кібербезпеки, які впливають на діяльність організації.</t>
  </si>
  <si>
    <t>PR.AA-01</t>
  </si>
  <si>
    <t>PR.AC-1</t>
  </si>
  <si>
    <t>Identities and credentials for authorized users, services, and hardware are managed by the organization</t>
  </si>
  <si>
    <t>забезпечити на рівні організації керування суб’єктами та їх обліковими даними для авторизованих користувачів, служб і апаратного забезпечення.</t>
  </si>
  <si>
    <t>PR.AA-02</t>
  </si>
  <si>
    <t>PR.AC-6</t>
  </si>
  <si>
    <t>Identities are proofed and bound to credentials based on the context of interactions</t>
  </si>
  <si>
    <t>забезпечити підтвердження ідентичності користувачів та їх відповідність обліковим записам на основі умов взаємодії.</t>
  </si>
  <si>
    <t>PR.AA-03</t>
  </si>
  <si>
    <t>PR.AC-3</t>
  </si>
  <si>
    <t>Users, services, and hardware are authenticated</t>
  </si>
  <si>
    <t>забезпечити автентифікацію користувачів, служб та апаратного забезпечення.</t>
  </si>
  <si>
    <t>PR.AA-04</t>
  </si>
  <si>
    <t>Identity assertions are protected, conveyed, and verified</t>
  </si>
  <si>
    <t>забезпечити перевіряння, захист та передавання інформації про запити на ідентифікацію.</t>
  </si>
  <si>
    <t>PR.AA-05</t>
  </si>
  <si>
    <t>Access permissions, entitlements, and authorizations are defined in a policy, managed, enforced, and reviewed, and incorporate the principles of least privilege and separation of duties</t>
  </si>
  <si>
    <t>визначити в політиці, дотримуючись принципів найменших привілеїв і розподілу обов’язків, дозволи доступу, повноваження та авторизації, керувати ними, застосовувати та переглядати.</t>
  </si>
  <si>
    <t>PR.AA-06</t>
  </si>
  <si>
    <t>PR.AC-2</t>
  </si>
  <si>
    <t>Physical access to assets is managed, monitored, and enforced commensurate with risk</t>
  </si>
  <si>
    <t>здійснювати управління та моніторинг фізичного доступу до активів відповідно до ризику.</t>
  </si>
  <si>
    <t>PR.AT-01</t>
  </si>
  <si>
    <t>PR.AT-1</t>
  </si>
  <si>
    <t>Personnel are provided with awareness and training so that they possess the knowledge and skills to perform general tasks with cybersecurity risks in mind</t>
  </si>
  <si>
    <t>забезпечити обізнаність та навченість персоналу таким чином, що він має знання та навички для виконання основних завдань щодо ризиків кібербезпеки.</t>
  </si>
  <si>
    <t>PR.AT-02</t>
  </si>
  <si>
    <t>PR.AT-2</t>
  </si>
  <si>
    <t>Individuals in specialized roles are provided with awareness and training so that they possess the knowledge and skills to perform relevant tasks with cybersecurity risks in mind</t>
  </si>
  <si>
    <t>забезпечити обізнаність та навченість співробітників, які безпосередньо виконують завдання із забезпечення кібербезпеки, кіберзахисту, таким чином, що вони мають знання та навички для виконання встановлених завдань щодо ризиків кібербезпеки.</t>
  </si>
  <si>
    <t>PR.DS-01</t>
  </si>
  <si>
    <t>PR.DS-1</t>
  </si>
  <si>
    <t>The confidentiality, integrity, and availability of data-at-rest are protected</t>
  </si>
  <si>
    <t>забезпечити конфіденційність, цілісність і доступність даних, що зберігаються в обладнанні систем організації.</t>
  </si>
  <si>
    <t>PR.DS-02</t>
  </si>
  <si>
    <t>PR.DS-2</t>
  </si>
  <si>
    <t>The confidentiality, integrity, and availability of data-in-transit are protected</t>
  </si>
  <si>
    <t>забезпечити конфіденційність, цілісність і доступність даних, що передаються.</t>
  </si>
  <si>
    <t>PR.DS-10</t>
  </si>
  <si>
    <t>PR.DS-5</t>
  </si>
  <si>
    <t>The confidentiality, integrity, and availability of data-in-use are protected</t>
  </si>
  <si>
    <t>забезпечити конфіденційність, цілісність і доступність даних, що використовуються</t>
  </si>
  <si>
    <t>PR.DS-11</t>
  </si>
  <si>
    <t>PR.IP-4</t>
  </si>
  <si>
    <t>Backups of data are created, protected, maintained, and tested</t>
  </si>
  <si>
    <t>забезпечити створення, захист, підтримку та тестування резервних копій даних.</t>
  </si>
  <si>
    <t>PR.PS-01</t>
  </si>
  <si>
    <t>PR.IP-1</t>
  </si>
  <si>
    <t>Configuration management practices are established and applied</t>
  </si>
  <si>
    <t>встановити та застосовувати методи керування конфігурацією.</t>
  </si>
  <si>
    <t>PR.PS-02</t>
  </si>
  <si>
    <t>PR.IP-12</t>
  </si>
  <si>
    <t>Software is maintained, replaced, and removed commensurate with risk</t>
  </si>
  <si>
    <t>забезпечити належне обслуговування, заміну та видалення програмного забезпечення відповідно до ризику.</t>
  </si>
  <si>
    <t>PR.PS-03</t>
  </si>
  <si>
    <t>PR.MA-1</t>
  </si>
  <si>
    <t>Hardware is maintained, replaced, and removed commensurate with risk</t>
  </si>
  <si>
    <t>забезпечити обслуговування, заміну та видалення обладнання відповідно до ризику.</t>
  </si>
  <si>
    <t>PR.PS-04</t>
  </si>
  <si>
    <t>PR.PT-1</t>
  </si>
  <si>
    <t>Log records are generated and made available for continuous monitoring</t>
  </si>
  <si>
    <t>створити записи журналів подій, які зроблені доступними для постійного моніторингу.</t>
  </si>
  <si>
    <t>PR.PS-05</t>
  </si>
  <si>
    <t>Installation and execution of unauthorized software are prevented</t>
  </si>
  <si>
    <t>заборонити встановлення та виконання несанкціонованого програмного забезпечення.</t>
  </si>
  <si>
    <t>PR.PS-06</t>
  </si>
  <si>
    <t>PR.IP-2</t>
  </si>
  <si>
    <t>Secure software development practices are integrated, and their performance is monitored throughout the software development life cycle</t>
  </si>
  <si>
    <t>інтегрувати практики безпечної розробки програмного забезпечення та контролювати їх виконання протягом життєвого циклу розробленого програмного забезпечення.</t>
  </si>
  <si>
    <t>PR.IR-01</t>
  </si>
  <si>
    <t>Networks and environments are protected from unauthorized logical access and usage</t>
  </si>
  <si>
    <t>забезпечити захист мережі та середовища від неавторизованого логічного доступу та використання.</t>
  </si>
  <si>
    <t>PR.IR-02</t>
  </si>
  <si>
    <t>PR.IP-5</t>
  </si>
  <si>
    <t>The organization's technology assets are protected from environmental threats</t>
  </si>
  <si>
    <t>забезпечити захист технологічних активів від загроз навколишнього середовища.</t>
  </si>
  <si>
    <t>PR.IR-03</t>
  </si>
  <si>
    <t>PR.PT-5</t>
  </si>
  <si>
    <t>Mechanisms are implemented to achieve resilience requirements in normal and adverse situations</t>
  </si>
  <si>
    <t>реалізувати механізми для досягнення вимог стійкості в нормальних і несприятливих ситуаціях.</t>
  </si>
  <si>
    <t>PR.IR-04</t>
  </si>
  <si>
    <t>PR.DS-4</t>
  </si>
  <si>
    <t>Adequate resource capacity to ensure availability is maintained</t>
  </si>
  <si>
    <t>забезпечити управління пропорційністю та адекватністю застосування ресурсів для їх доступності.</t>
  </si>
  <si>
    <t>DE.CM-01</t>
  </si>
  <si>
    <t>DE.CM-1</t>
  </si>
  <si>
    <t>Networks and network services are monitored to find potentially adverse events</t>
  </si>
  <si>
    <t>проводити постійний моніторинг мереж та мережевих служб для виявлення потенційно несприятливих подій.</t>
  </si>
  <si>
    <t>DE.CM-02</t>
  </si>
  <si>
    <t>DE.CM-2</t>
  </si>
  <si>
    <t>The physical environment is monitored to find potentially adverse events</t>
  </si>
  <si>
    <t>проводити постійний моніторинг фізичного середовища для виявлення потенційно несприятливих подій.</t>
  </si>
  <si>
    <t>DE.CM-03</t>
  </si>
  <si>
    <t>DE.CM-3</t>
  </si>
  <si>
    <t>Personnel activity and technology usage are monitored to find potentially adverse events</t>
  </si>
  <si>
    <t>проводити постійний моніторинг діяльності персоналу та використання ним технологій для виявлення потенційно несприятливих подій.</t>
  </si>
  <si>
    <t>DE.CM-06</t>
  </si>
  <si>
    <t>DE.CM-6</t>
  </si>
  <si>
    <t>External service provider activities and services are monitored to find potentially adverse events</t>
  </si>
  <si>
    <t>проводити постійний моніторинг діяльності і послуг зовнішнього постачальника для виявлення потенційно несприятливих подій.</t>
  </si>
  <si>
    <t>DE.CM-09</t>
  </si>
  <si>
    <t>PR.DS-6</t>
  </si>
  <si>
    <t>Computing hardware and software, runtime environments, and their data are monitored to find potentially adverse events</t>
  </si>
  <si>
    <t>проводити постійний моніторинг використання комп’ютерного обладнання та програмного забезпечення, середовища їх виконання та даних для виявлення потенційно несприятливих подій.</t>
  </si>
  <si>
    <t>DE.AE-02</t>
  </si>
  <si>
    <t>DE.AE-2</t>
  </si>
  <si>
    <t>Potentially adverse events are analyzed to better understand associated activities</t>
  </si>
  <si>
    <t>впровадити періодичне проведення аналізу потенційно несприятливих подій для кращого розуміння пов’язаних подій.</t>
  </si>
  <si>
    <t>DE.AE-03</t>
  </si>
  <si>
    <t>DE.AE-3</t>
  </si>
  <si>
    <t>Information is correlated from multiple sources</t>
  </si>
  <si>
    <t>впровадити періодичне проведення пошуку та зіставлення інформації з кількох джерел.</t>
  </si>
  <si>
    <t>DE.AE-04</t>
  </si>
  <si>
    <t>DE.AE-4</t>
  </si>
  <si>
    <t>The estimated impact and scope of adverse events are understood</t>
  </si>
  <si>
    <t>забезпечити усвідомлення очікуваного впливу і масштабу несприятливих подій.</t>
  </si>
  <si>
    <t>DE.AE-06</t>
  </si>
  <si>
    <t>DE.DP-4</t>
  </si>
  <si>
    <t>Information on adverse events is provided to authorized staff and tools</t>
  </si>
  <si>
    <t>забезпечити передавання інформації про несприятливі події до уповноважених підрозділів (організацій) для використання відповідного інструментарію.</t>
  </si>
  <si>
    <t>DE.AE-07</t>
  </si>
  <si>
    <t>Cyber threat intelligence and other contextual information are integrated into the analysis</t>
  </si>
  <si>
    <t>забезпечити збирання, виявлення та аналіз інформації про кіберзагрози та іншої контекстної інформації.</t>
  </si>
  <si>
    <t>DE.AE-08</t>
  </si>
  <si>
    <t>DE.AE-5</t>
  </si>
  <si>
    <t>Incidents are declared when adverse events meet the defined incident criteria</t>
  </si>
  <si>
    <t>впровадити здійснення оголошення про інцидент, коли несприятливі події відповідають визначеним критеріям інциденту.</t>
  </si>
  <si>
    <t>RS.MA-01</t>
  </si>
  <si>
    <t>RS.RP-1</t>
  </si>
  <si>
    <t>The incident response plan is executed in coordination with relevant third parties once an incident is declared</t>
  </si>
  <si>
    <t>впровадити виконання планів реагування на інцидент в координації з відповідними третіми сторонами одразу після оголошення інциденту.</t>
  </si>
  <si>
    <t>RS.MA-02</t>
  </si>
  <si>
    <t>RS.AN-1</t>
  </si>
  <si>
    <t>Incident reports are triaged and validated</t>
  </si>
  <si>
    <t>впровадити здійснення сортування звітів про інциденти після їх підтвердження.</t>
  </si>
  <si>
    <t>RS.MA-03</t>
  </si>
  <si>
    <t>RS.AN-4</t>
  </si>
  <si>
    <t>Incidents are categorized and prioritized</t>
  </si>
  <si>
    <t>впровадити класифікацію та пріоритизацію інцидентів.</t>
  </si>
  <si>
    <t>RS.MA-04</t>
  </si>
  <si>
    <t>RS.AN-2</t>
  </si>
  <si>
    <t>Incidents are escalated or elevated as needed</t>
  </si>
  <si>
    <t>впровадити інформування та підвищення рівнів критичності інцидентів (за потреби).</t>
  </si>
  <si>
    <t>RS.MA-05</t>
  </si>
  <si>
    <t>The criteria for initiating incident recovery are applied</t>
  </si>
  <si>
    <t>впровадити застосування критеріїв для ініціювання відновлення після інциденту.</t>
  </si>
  <si>
    <t>RS.AN-03</t>
  </si>
  <si>
    <t>RS.AN-3</t>
  </si>
  <si>
    <t>Analysis is performed to establish what has taken place during an incident and the root cause of the incident</t>
  </si>
  <si>
    <t>запровадити проведення аналізу для встановлення того, що відбулося під час інциденту та які джерела виникнення інциденту.</t>
  </si>
  <si>
    <t>RS.AN-06</t>
  </si>
  <si>
    <t>Actions performed during an investigation are recorded, and the records' integrity and provenance are preserved</t>
  </si>
  <si>
    <t>запровадити здійснення запису дій, які виконуються під час розслідування інциденту, та забезпечити цілісність та збереження таких записів.</t>
  </si>
  <si>
    <t>RS.AN-07</t>
  </si>
  <si>
    <t>Incident data and metadata are collected, and their integrity and provenance are preserved</t>
  </si>
  <si>
    <t>запровадити здійснення збору та забезпечити цілісність та збереження даних про інциденти та метаданих.</t>
  </si>
  <si>
    <t>RS.AN-08</t>
  </si>
  <si>
    <t>An incident's magnitude is estimated and validated</t>
  </si>
  <si>
    <t>запровадити оцінювання масштабу інциденту та документально його підтверджувати.</t>
  </si>
  <si>
    <t>RS.CO-02</t>
  </si>
  <si>
    <t>RS.CO-2</t>
  </si>
  <si>
    <t>Internal and external stakeholders are notified of incidents</t>
  </si>
  <si>
    <t>запровадити сповіщення внутрішніх та зовнішніх заінтересованих сторін про інциденти.</t>
  </si>
  <si>
    <t>RS.CO-03</t>
  </si>
  <si>
    <t>RS.CO-3</t>
  </si>
  <si>
    <t>Information is shared with designated internal and external stakeholders</t>
  </si>
  <si>
    <t>запровадити надання інформації визначеним внутрішнім і зовнішнім заінтересованим сторонам.</t>
  </si>
  <si>
    <t>RS.MI-01</t>
  </si>
  <si>
    <t>RS.MI-1</t>
  </si>
  <si>
    <t>Incidents are contained</t>
  </si>
  <si>
    <t>забезпечити локалізацію інцидентів.</t>
  </si>
  <si>
    <t>RS.MI-02</t>
  </si>
  <si>
    <t>RS.MI-2</t>
  </si>
  <si>
    <t>Incidents are eradicated</t>
  </si>
  <si>
    <t>забезпечити ліквідацію інцидентів.</t>
  </si>
  <si>
    <t>RC.RP-01</t>
  </si>
  <si>
    <t>RC.RP-1</t>
  </si>
  <si>
    <t>The recovery portion of the incident response plan is executed once initiated from the incident response process</t>
  </si>
  <si>
    <t>забезпечити виконання передбачених планом реагування на інцидент частини заходів щодо відновлення одразу після їх ініціалізації в ході реагування на інцидент.</t>
  </si>
  <si>
    <t>RC.RP-02</t>
  </si>
  <si>
    <t>Recovery actions are selected, scoped, prioritized, and performed</t>
  </si>
  <si>
    <t>забезпечити відбір, визначення обсягу, пріоритетність та виконання заходів з відновлення.</t>
  </si>
  <si>
    <t>RC.RP-03</t>
  </si>
  <si>
    <t>The integrity of backups and other restoration assets is verified before using them for restoration</t>
  </si>
  <si>
    <t>переконатися у цілісності резервних копій та інших ресурсів, які підлягають відновленню, перед їх використанням для відновлення.</t>
  </si>
  <si>
    <t>RC.RP-04</t>
  </si>
  <si>
    <t>Critical mission functions and cybersecurity risk management are considered to establish post-incident operational norms</t>
  </si>
  <si>
    <t>переглянути критичні для місії організації функції для встановлення операційних норм після інцидентів.</t>
  </si>
  <si>
    <t>RC.RP-05</t>
  </si>
  <si>
    <t>The integrity of restored assets is verified, systems and services are restored, and normal operating status is confirmed</t>
  </si>
  <si>
    <t>переконатися в цілісності відновлених активів, відновленні систем та служб і підтвердити їх робочий стан.</t>
  </si>
  <si>
    <t>RC.RP-06</t>
  </si>
  <si>
    <t>The end of incident recovery is declared based on criteria, and incident-related documentation is completed</t>
  </si>
  <si>
    <t>задекларувати завершення відновлення після інциденту, підтвердження критеріїв та пов’язаної з інцидентом документації.</t>
  </si>
  <si>
    <t>RC.CO-03</t>
  </si>
  <si>
    <t>RC.CO-3</t>
  </si>
  <si>
    <t>Recovery activities and progress in restoring operational capabilities are communicated to designated internal and external stakeholders</t>
  </si>
  <si>
    <t>забезпечити інформування визначених внутрішніх і зовнішніх заінтересованих сторін про заходи з відновлення та прогрес у відновленні операційних спроможностей.</t>
  </si>
  <si>
    <t>RC.CO-04</t>
  </si>
  <si>
    <t>RC.CO-1</t>
  </si>
  <si>
    <t>Public updates on incident recovery are shared using approved methods and messaging</t>
  </si>
  <si>
    <t>запровадити інформування суспільства про відновлення після інциденту, використовуючи затверджені методи та повідомлення.</t>
  </si>
  <si>
    <t>Maintenance Policy</t>
  </si>
  <si>
    <t>Remote Access Standard</t>
  </si>
  <si>
    <t>Information Security Policy</t>
  </si>
  <si>
    <t>Identification and Authentication Policy</t>
  </si>
  <si>
    <t>Configuration Management Policy</t>
  </si>
  <si>
    <t>Sanitization Secure Disposal Standard</t>
  </si>
  <si>
    <t>System and Information Integrity Policy</t>
  </si>
  <si>
    <t>IR-04</t>
  </si>
  <si>
    <t>CP-02</t>
  </si>
  <si>
    <t>SR-08</t>
  </si>
  <si>
    <t>IR-06</t>
  </si>
  <si>
    <t>Restoration activities are coordinated with internal and external parties</t>
  </si>
  <si>
    <t>RC.CO</t>
  </si>
  <si>
    <t>IR-08</t>
  </si>
  <si>
    <t>CP-10</t>
  </si>
  <si>
    <t>IR-01</t>
  </si>
  <si>
    <t>PM-11</t>
  </si>
  <si>
    <t>PM-09</t>
  </si>
  <si>
    <t>PM-08</t>
  </si>
  <si>
    <t>CP-09</t>
  </si>
  <si>
    <t>CP-04</t>
  </si>
  <si>
    <t>Restoration activities are performed to ensure operational availability of systems and services affected by cybersecurity incidents</t>
  </si>
  <si>
    <t>RC.RP</t>
  </si>
  <si>
    <t xml:space="preserve">CP-04
</t>
  </si>
  <si>
    <t>Assets and operations affected by a cybersecurity incident are restored</t>
  </si>
  <si>
    <t>RC</t>
  </si>
  <si>
    <t>Activities are performed to prevent expansion of an event and mitigate its effects</t>
  </si>
  <si>
    <t>RS.MI</t>
  </si>
  <si>
    <t>SR-03</t>
  </si>
  <si>
    <t>IR-07</t>
  </si>
  <si>
    <t>Response activities are coordinated with internal and external stakeholders as required by laws, regulations, or policies</t>
  </si>
  <si>
    <t>RS.CO</t>
  </si>
  <si>
    <t>RA-07</t>
  </si>
  <si>
    <t>RA-03</t>
  </si>
  <si>
    <t>AU-07</t>
  </si>
  <si>
    <t>Investigations are conducted to ensure effective response and support forensics and recovery activities</t>
  </si>
  <si>
    <t>RS.AN</t>
  </si>
  <si>
    <t>IR-05</t>
  </si>
  <si>
    <t>IR-09</t>
  </si>
  <si>
    <t>Responses to detected cybersecurity incidents are managed</t>
  </si>
  <si>
    <t>RS.MA</t>
  </si>
  <si>
    <t>Actions regarding a detected cybersecurity incident are taken</t>
  </si>
  <si>
    <t>RS</t>
  </si>
  <si>
    <t xml:space="preserve">IR-04
</t>
  </si>
  <si>
    <t>RA-10</t>
  </si>
  <si>
    <t xml:space="preserve">PM-16
</t>
  </si>
  <si>
    <t>RA-04</t>
  </si>
  <si>
    <t>PM-16</t>
  </si>
  <si>
    <t>PM-15</t>
  </si>
  <si>
    <t>PM-30</t>
  </si>
  <si>
    <t>PM-28</t>
  </si>
  <si>
    <t>PM-18</t>
  </si>
  <si>
    <t>SI-04</t>
  </si>
  <si>
    <t>CA-07</t>
  </si>
  <si>
    <t>AU-06</t>
  </si>
  <si>
    <t>Anomalies, indicators of compromise, and other potentially adverse events are analyzed to characterize the events and detect cybersecurity incidents</t>
  </si>
  <si>
    <t>DE.AE</t>
  </si>
  <si>
    <t>SI-07</t>
  </si>
  <si>
    <t>SC-35</t>
  </si>
  <si>
    <t>SC-34</t>
  </si>
  <si>
    <t>CM-11</t>
  </si>
  <si>
    <t>CM-10</t>
  </si>
  <si>
    <t>CM-06</t>
  </si>
  <si>
    <t>CM-03</t>
  </si>
  <si>
    <t>AU-12</t>
  </si>
  <si>
    <t>AC-09</t>
  </si>
  <si>
    <t>AC-04</t>
  </si>
  <si>
    <t>SA-09</t>
  </si>
  <si>
    <t>SA-04</t>
  </si>
  <si>
    <t>PS-07</t>
  </si>
  <si>
    <t>AU-13</t>
  </si>
  <si>
    <t>AC-02</t>
  </si>
  <si>
    <t>PE-20</t>
  </si>
  <si>
    <t>PE-06</t>
  </si>
  <si>
    <t>PE-03</t>
  </si>
  <si>
    <t>SC-07</t>
  </si>
  <si>
    <t>SC-05</t>
  </si>
  <si>
    <t>Assets are monitored to find anomalies, indicators of compromise, and other potentially adverse events</t>
  </si>
  <si>
    <t>DE.CM</t>
  </si>
  <si>
    <t>Possible cybersecurity attacks and compromises are found and analyzed</t>
  </si>
  <si>
    <t>DE</t>
  </si>
  <si>
    <t>PM-03</t>
  </si>
  <si>
    <t>CP-08</t>
  </si>
  <si>
    <t>CP-07</t>
  </si>
  <si>
    <t xml:space="preserve">CP-06
</t>
  </si>
  <si>
    <t>SI-13</t>
  </si>
  <si>
    <t>SC-39</t>
  </si>
  <si>
    <t>SC-36</t>
  </si>
  <si>
    <t>SC-24</t>
  </si>
  <si>
    <t>SC-06</t>
  </si>
  <si>
    <t>SA-08</t>
  </si>
  <si>
    <t>IR</t>
  </si>
  <si>
    <t>CP</t>
  </si>
  <si>
    <t>PE-23</t>
  </si>
  <si>
    <t>PE-18</t>
  </si>
  <si>
    <t>PE-15</t>
  </si>
  <si>
    <t>PE-14</t>
  </si>
  <si>
    <t>PE-13</t>
  </si>
  <si>
    <t>PE-12</t>
  </si>
  <si>
    <t>PE-11</t>
  </si>
  <si>
    <t>PE-10</t>
  </si>
  <si>
    <t>PE-09</t>
  </si>
  <si>
    <t>SC-04</t>
  </si>
  <si>
    <t>AC-03</t>
  </si>
  <si>
    <t>Security architectures are managed with the organization's risk strategy to protect asset confidentiality, integrity, and availability, and organizational resilience</t>
  </si>
  <si>
    <t>PR.IR</t>
  </si>
  <si>
    <t>SA-17</t>
  </si>
  <si>
    <t>SA-15</t>
  </si>
  <si>
    <t>SA-11</t>
  </si>
  <si>
    <t>SA-10</t>
  </si>
  <si>
    <t>SA-03</t>
  </si>
  <si>
    <t>CM-07(05)</t>
  </si>
  <si>
    <t>CM-07(04)</t>
  </si>
  <si>
    <t>CM-07(02)</t>
  </si>
  <si>
    <t>AU-11</t>
  </si>
  <si>
    <t>AU-03</t>
  </si>
  <si>
    <t xml:space="preserve">AU-02
</t>
  </si>
  <si>
    <t>SC-51</t>
  </si>
  <si>
    <t>SC-49</t>
  </si>
  <si>
    <t>SC-39(01)</t>
  </si>
  <si>
    <t>SC-03(01)</t>
  </si>
  <si>
    <t>SA-10(03)</t>
  </si>
  <si>
    <t>CM-07(09)</t>
  </si>
  <si>
    <t>SI-02</t>
  </si>
  <si>
    <t>SA-10(01)</t>
  </si>
  <si>
    <t>MA-03(06)</t>
  </si>
  <si>
    <t>CM-09</t>
  </si>
  <si>
    <t>CM-08</t>
  </si>
  <si>
    <t>CM-07</t>
  </si>
  <si>
    <t>CM-05</t>
  </si>
  <si>
    <t>CM-04</t>
  </si>
  <si>
    <t>CM-02</t>
  </si>
  <si>
    <t>CM-01</t>
  </si>
  <si>
    <t>The hardware, software (e.g., firmware, operating systems, applications), and services of physical and virtual platforms are managed consistent with the organization's risk strategy to protect their confidentiality, integrity, and availability</t>
  </si>
  <si>
    <t>PR.PS</t>
  </si>
  <si>
    <t>SI-16</t>
  </si>
  <si>
    <t>SI-10</t>
  </si>
  <si>
    <t>SI-03</t>
  </si>
  <si>
    <t>SC-43</t>
  </si>
  <si>
    <t>SC-40</t>
  </si>
  <si>
    <t>SC-32</t>
  </si>
  <si>
    <t>SC-13</t>
  </si>
  <si>
    <t>SC-11</t>
  </si>
  <si>
    <t>CA-03</t>
  </si>
  <si>
    <t>AU-09</t>
  </si>
  <si>
    <t>SC-16</t>
  </si>
  <si>
    <t>SC-12</t>
  </si>
  <si>
    <t>SC-08</t>
  </si>
  <si>
    <t>AU-16</t>
  </si>
  <si>
    <t>SC-28</t>
  </si>
  <si>
    <t>MP-08</t>
  </si>
  <si>
    <t>Data are managed consistent with the organization's risk strategy to protect the confidentiality, integrity, and availability of information</t>
  </si>
  <si>
    <t>PR.DS</t>
  </si>
  <si>
    <t>AT-03</t>
  </si>
  <si>
    <t xml:space="preserve">AT-02
</t>
  </si>
  <si>
    <t>The organization's personnel are provided with cybersecurity awareness and training so that they can perform their cybersecurity-related tasks</t>
  </si>
  <si>
    <t>PR.AT</t>
  </si>
  <si>
    <t>PE-19</t>
  </si>
  <si>
    <t>PE-08</t>
  </si>
  <si>
    <t>PE-05</t>
  </si>
  <si>
    <t>PE-04</t>
  </si>
  <si>
    <t>PE-02</t>
  </si>
  <si>
    <t>IA-13</t>
  </si>
  <si>
    <t>AC-24</t>
  </si>
  <si>
    <t>AC-19</t>
  </si>
  <si>
    <t>AC-18</t>
  </si>
  <si>
    <t>AC-17</t>
  </si>
  <si>
    <t>AC-16</t>
  </si>
  <si>
    <t>AC-10</t>
  </si>
  <si>
    <t>AC-06</t>
  </si>
  <si>
    <t>AC-05</t>
  </si>
  <si>
    <t>AC-01</t>
  </si>
  <si>
    <t>IA-11</t>
  </si>
  <si>
    <t>IA-10</t>
  </si>
  <si>
    <t>IA-09</t>
  </si>
  <si>
    <t>IA-08</t>
  </si>
  <si>
    <t>IA-07</t>
  </si>
  <si>
    <t>IA-05</t>
  </si>
  <si>
    <t>IA-03</t>
  </si>
  <si>
    <t>IA-02</t>
  </si>
  <si>
    <t>AC-12</t>
  </si>
  <si>
    <t xml:space="preserve">AC-07
</t>
  </si>
  <si>
    <t>IA-12</t>
  </si>
  <si>
    <t>IA-06</t>
  </si>
  <si>
    <t>IA-04</t>
  </si>
  <si>
    <t>IA-01</t>
  </si>
  <si>
    <t>AC-14</t>
  </si>
  <si>
    <t xml:space="preserve">AC-01
</t>
  </si>
  <si>
    <t>Access to physical and logical assets is limited to authorized users, services, and hardware and  managed commensurate with the assessed risk of unauthorized access</t>
  </si>
  <si>
    <t>PR.AA</t>
  </si>
  <si>
    <t>Safeguards to manage the organization's cybersecurity risks are used</t>
  </si>
  <si>
    <t>PR</t>
  </si>
  <si>
    <t>SR-02</t>
  </si>
  <si>
    <t>PL-02</t>
  </si>
  <si>
    <t xml:space="preserve">CP-02
</t>
  </si>
  <si>
    <t>SR-05</t>
  </si>
  <si>
    <t>RA-05</t>
  </si>
  <si>
    <t>PM-31</t>
  </si>
  <si>
    <t>PM-04</t>
  </si>
  <si>
    <t>CA-08</t>
  </si>
  <si>
    <t>CA-05</t>
  </si>
  <si>
    <t>CA-02</t>
  </si>
  <si>
    <t>SR-01</t>
  </si>
  <si>
    <t>SI-01</t>
  </si>
  <si>
    <t>SC-01</t>
  </si>
  <si>
    <t>SA-01</t>
  </si>
  <si>
    <t>RA-01</t>
  </si>
  <si>
    <t>PT-01</t>
  </si>
  <si>
    <t>PS-01</t>
  </si>
  <si>
    <t>PM-01</t>
  </si>
  <si>
    <t>PL-01</t>
  </si>
  <si>
    <t>PE-01</t>
  </si>
  <si>
    <t>MP-01</t>
  </si>
  <si>
    <t>MA-01</t>
  </si>
  <si>
    <t>CP-01</t>
  </si>
  <si>
    <t>CA-01</t>
  </si>
  <si>
    <t>AU-01</t>
  </si>
  <si>
    <t>AT-01</t>
  </si>
  <si>
    <t>IR-03</t>
  </si>
  <si>
    <t>SA-17(06)</t>
  </si>
  <si>
    <t>Improvements to organizational cybersecurity risk management processes, procedures and activities are identified across all CSF Functions</t>
  </si>
  <si>
    <t>ID.IM</t>
  </si>
  <si>
    <t>SR-06</t>
  </si>
  <si>
    <t>SR-11</t>
  </si>
  <si>
    <t>SR-10</t>
  </si>
  <si>
    <t>SA-05</t>
  </si>
  <si>
    <t xml:space="preserve">CA-07
</t>
  </si>
  <si>
    <t xml:space="preserve">PM-09
</t>
  </si>
  <si>
    <t>RA-02</t>
  </si>
  <si>
    <t>RA-09</t>
  </si>
  <si>
    <t>RA-08</t>
  </si>
  <si>
    <t>SI-05</t>
  </si>
  <si>
    <t xml:space="preserve">PM-12
</t>
  </si>
  <si>
    <t xml:space="preserve">SI-05
</t>
  </si>
  <si>
    <t>SA-15(08)</t>
  </si>
  <si>
    <t>SA-15(07)</t>
  </si>
  <si>
    <t>SA-11(02)</t>
  </si>
  <si>
    <t>The cybersecurity risk to the organization, assets, and individuals is understood by the organization</t>
  </si>
  <si>
    <t>ID.RA</t>
  </si>
  <si>
    <t>SR-12</t>
  </si>
  <si>
    <t>SI-18</t>
  </si>
  <si>
    <t>SI-12</t>
  </si>
  <si>
    <t>SA-22</t>
  </si>
  <si>
    <t>PM-23</t>
  </si>
  <si>
    <t>PM-22</t>
  </si>
  <si>
    <t>MA-06</t>
  </si>
  <si>
    <t>MA-02</t>
  </si>
  <si>
    <t>CM-13</t>
  </si>
  <si>
    <t xml:space="preserve">CM-12
</t>
  </si>
  <si>
    <t xml:space="preserve">RA-03
</t>
  </si>
  <si>
    <t xml:space="preserve">AC-20
</t>
  </si>
  <si>
    <t>PM-07</t>
  </si>
  <si>
    <t>PL-08</t>
  </si>
  <si>
    <t>CA-09</t>
  </si>
  <si>
    <t xml:space="preserve">AC-04
</t>
  </si>
  <si>
    <t>PM-05</t>
  </si>
  <si>
    <t xml:space="preserve">AC-20
</t>
  </si>
  <si>
    <t xml:space="preserve">CM-08
</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</si>
  <si>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</si>
  <si>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t>
  </si>
  <si>
    <t>The organization's current cybersecurity risks are understood</t>
  </si>
  <si>
    <t>ID</t>
  </si>
  <si>
    <t xml:space="preserve">PM-31
</t>
  </si>
  <si>
    <t>PM-19</t>
  </si>
  <si>
    <t xml:space="preserve">SA-04
</t>
  </si>
  <si>
    <t xml:space="preserve">RA-09
</t>
  </si>
  <si>
    <t xml:space="preserve">SR-02
</t>
  </si>
  <si>
    <t xml:space="preserve">PM-30
</t>
  </si>
  <si>
    <t>Cyber supply chain risk management processes are identified, established, managed, monitored, and improved by organizational stakeholders</t>
  </si>
  <si>
    <t>GV.SC</t>
  </si>
  <si>
    <t>PM-06</t>
  </si>
  <si>
    <t>Results of organization-wide cybersecurity risk management activities and performance are used to inform, improve, and adjust the risk management strategy</t>
  </si>
  <si>
    <t>GV.OV</t>
  </si>
  <si>
    <t>Organizational cybersecurity policy is established, communicated, and enforced</t>
  </si>
  <si>
    <t>GV.PO</t>
  </si>
  <si>
    <t>PS-09</t>
  </si>
  <si>
    <t xml:space="preserve">PM-13
</t>
  </si>
  <si>
    <t>PM-29</t>
  </si>
  <si>
    <t>PM-24</t>
  </si>
  <si>
    <t>PM-13</t>
  </si>
  <si>
    <t xml:space="preserve">PM-02
</t>
  </si>
  <si>
    <t>Cybersecurity roles, responsibilities, and authorities to foster accountability, performance assessment, and continuous improvement are established and communicated</t>
  </si>
  <si>
    <t>GV.RR</t>
  </si>
  <si>
    <t xml:space="preserve">PM-03
</t>
  </si>
  <si>
    <t>The organization's priorities, constraints, risk tolerance and appetite statements, and assumptions are established, communicated, and used to support operational risk decisions</t>
  </si>
  <si>
    <t>GV.RM</t>
  </si>
  <si>
    <t xml:space="preserve">PM-11
</t>
  </si>
  <si>
    <t>PM-30(01)</t>
  </si>
  <si>
    <t>CP-02(08)</t>
  </si>
  <si>
    <t>PT</t>
  </si>
  <si>
    <t>The circumstances - mission, stakeholder expectations, dependencies, and legal, regulatory, and contractual requirements - surrounding the organization's cybersecurity risk management decisions are understood</t>
  </si>
  <si>
    <t>GV.OC</t>
  </si>
  <si>
    <t>The organization's cybersecurity risk management strategy, expectations, and policy are established, communicated, and monitored</t>
  </si>
  <si>
    <t>GV</t>
  </si>
  <si>
    <t>Strength of
Relationship
(Optional)</t>
  </si>
  <si>
    <t>Comments
(Optional)</t>
  </si>
  <si>
    <t>Reference Document
Element Description
(Optional)</t>
  </si>
  <si>
    <t>Reference Document
Element</t>
  </si>
  <si>
    <t>Focal Document Element Description</t>
  </si>
  <si>
    <t>Focal Document
Element</t>
  </si>
  <si>
    <t>https://csrc.nist.gov/files/pubs/sp/800/53/r5/upd1/final/docs/csf-pf-to-sp800-53r5-mappings.xlsx</t>
  </si>
  <si>
    <t>Джерело:</t>
  </si>
  <si>
    <t>Identification and Authentication Policy
Security Assessment and Authorization Policy 
Systems and Services Acquisition Policy</t>
  </si>
  <si>
    <t>Computer Security Threat Response Policy
Cyber Incident Response Standard
Incident Response Policy</t>
  </si>
  <si>
    <t>System and Communications Protection Policy 
Information Classification Standard
Information Security Policy</t>
  </si>
  <si>
    <t>Information Security Policy
Information Security Risk Management 
Standard Risk Assessment Policy</t>
  </si>
  <si>
    <t>Information Security Policy 
Information Security Risk Management
Standard Risk Assessment Policy</t>
  </si>
  <si>
    <t>Identification and Authentication Policy
Security Assessment and Authorization Policy
Systems and Services Acquisition Policy</t>
  </si>
  <si>
    <t>Information Security Policy
Information Security Risk Management
Standard Risk Assessment Policy</t>
  </si>
  <si>
    <t>Acceptable Use of Information Technology Resource Policy
Information Security Policy
Security Awareness and Training Policy</t>
  </si>
  <si>
    <t>Acceptable Use of Information Technology Resource Policy 
Information Security Policy
Security Awareness and Training Policy</t>
  </si>
  <si>
    <t>Information Security Policy
Personnel Security Policy
Physical and Environmental Protection Policy 
Security Awareness and Training Policy</t>
  </si>
  <si>
    <t>Personnel Security Policy
Physical and Environmental Protection Policy 
Security Awareness and Training Policy</t>
  </si>
  <si>
    <t>Computer Security Threat Response Policy 
Cyber Incident Response Standard
Incident Response Policy
Systems and Services Acquisition Policy</t>
  </si>
  <si>
    <t>Auditing and Accountability Standard
Security Logging Standard
System and Information Integrity Policy 
Vulnerability Scanning Standard</t>
  </si>
  <si>
    <t>Encryption Standard
Information Security Policy
Maintenance Policy
Media Protection Policy
Mobile Device Security 
Security Assessment and Authorization Policy 
Vulnerability Scanning Standard
Patch Management Standard</t>
  </si>
  <si>
    <t>Computer Security Threat Response Policy 
Cyber Incident Response Standard
Incident Response Policy
Information Security Policy</t>
  </si>
  <si>
    <t>Computer Security Threat Response Policy 
Cyber Incident Response Standard
Incident Response Policy
Planning Policy</t>
  </si>
  <si>
    <t>Computer Security Threat Response Policy 
Cyber Incident Response Standard
Incident Response Policy</t>
  </si>
  <si>
    <t>Computer Security Threat Response Policy
Cyber Incident Response Standard
Incident Response Policy
Contingency Planning Policy</t>
  </si>
  <si>
    <t>Computer Security Threat Response Policy 
Cyber Incident Response Standard
Incident Response Policy
Contingency Planning Policy</t>
  </si>
  <si>
    <t>Computer Security Threat Response Policy
Cyber Incident Response Standard
Incident Response Policy
Systems and Services Acquisition Policy
Contingency Planning Policy</t>
  </si>
  <si>
    <t>Access Control Policy
Account Management/Access Control Standard 
Configuration Management Policy
Identification and Authentication Policy
Sanitization Secure Disposal Standard
Secure Configuration Standard
Secure System Development Life Cycle Standard</t>
  </si>
  <si>
    <t>Access Control Policy
Account Management/Access Control Standard 
Authentication Tokens Standard
Configuration Management Policy
Identification and Authentication Policy</t>
  </si>
  <si>
    <t>Computer Security Threat Response Policy
Contingency Planning Policy
Cyber Incident Response Standard
Incident Response Policy</t>
  </si>
  <si>
    <t>Computer Security Threat Response Policy
Cyber Incident Response Standard 
Incident Response Policy
Contingency Planning Policy</t>
  </si>
  <si>
    <t>Computer Security Threat Response Policy
Cyber Incident Response Standard 
Incident Response Policy</t>
  </si>
  <si>
    <t>Auditing and Accountability Standard
Security Logging Standard
System and Information Integrity Policy</t>
  </si>
  <si>
    <t>Maintenance Policy
Auditing and Accountability Standard
Security Logging Standard
System and Information Integrity Policy 
Vulnerability Scanning Standard</t>
  </si>
  <si>
    <t>Computer Security Threat Response Policy 
Cyber Incident Response Standard
Incident Response Policy
Information Security Policy
System and Information Integrity Policy
Vulnerability Scanning Standard</t>
  </si>
  <si>
    <t>Auditing and Accountability Standard
System and Information Integrity Policy</t>
  </si>
  <si>
    <t>Auditing and Accountability Standard
Secure Coding Standard
Security Logging Standard
System and Information Integrity Policy 
Vulnerability Scanning Standard</t>
  </si>
  <si>
    <t>Secure System Development Life Cycle Standard 
System and Information Integrity Policy
802.11 Wireless Network Security Standard</t>
  </si>
  <si>
    <t>Secure Configuration Standard
Secure System Development Life Cycle Standard 
Sanitization Secure Disposal Standard
Maintenance Policy</t>
  </si>
  <si>
    <t>Remote Access Standard
Mobile Device Security
Encryption Standard
Media Protection Policy
System and Communications Protection Policy</t>
  </si>
  <si>
    <t>Configuration Management Policy 
Secure Configuration Standard</t>
  </si>
  <si>
    <t>Sanitization Secure Disposal Standard 
Access Control Policy</t>
  </si>
  <si>
    <t>Maintenance Policy
Media Protection Policy</t>
  </si>
  <si>
    <t xml:space="preserve">Sanitization Secure Disposal Standard
Secure Configuration Standard
Secure System Development Life Cycle Standard 
Maintenance Policy
Media Protection Policy
Mobile Device Security </t>
  </si>
  <si>
    <t>Computer Security Threat Response Policy 
Cyber Incident Response Standard
Encryption Standard
Incident Response Policy
Information Security Policy
Maintenance Policy
Media Protection Policy
Mobile Device Security 
Patch Management Standard</t>
  </si>
  <si>
    <t>Information Security Policy
Personnel Security Policy
Physical and Environmental Protection Policy 
Security Awareness and Training Policy
Acceptable Use of Information Technology Resource Policy</t>
  </si>
  <si>
    <t>Information Security Policy
Personnel Security Policy
Physical and Environmental Protection Policy 
Security Awareness and Training Policy
Access Control Policy
Account Management/Access Control Standard
Authentication Tokens Standard
Configuration Management Policy
Identification and Authentication Policy
Acceptable Use of Information Technology Resource Policy</t>
  </si>
  <si>
    <t>Encryption Standard
Information Security Policy
Maintenance Policy
Media Protection Policy
Mobile Device Security 
System and Communications Protection Policy</t>
  </si>
  <si>
    <t>CIS NIST CSF Policy Template Guide</t>
  </si>
  <si>
    <t xml:space="preserve">Low </t>
  </si>
  <si>
    <t xml:space="preserve">Medium </t>
  </si>
  <si>
    <t xml:space="preserve">High </t>
  </si>
  <si>
    <t>Column1</t>
  </si>
  <si>
    <t>Column2</t>
  </si>
  <si>
    <t>PM-08, PM-11, CP-02(08), PM-30(01), RA-09</t>
  </si>
  <si>
    <t>PM-09, PM-19, PM-30, PM-31, RA-07, SR-06</t>
  </si>
  <si>
    <t>PM-04, PM-06, RA-07, SR-06</t>
  </si>
  <si>
    <t>CM-09, CM-13, MA-02, MA-06, PL-02, PM-22, PM-23, SA-03, SA-04, SA-08, SA-22, SI-12, SI-18, SR-05, SR-12</t>
  </si>
  <si>
    <t>CA-02, CA-07, CA-08, RA-03, RA-05, SA-11(02), SA-15(07), SA-15(08), SI-04, SI-05</t>
  </si>
  <si>
    <t>SA-04, SA-05, SA-10, SA-11, SA-15, SA-17, SI-07, SR-05, SR-06, SR-10, SR-11</t>
  </si>
  <si>
    <t>AC-01, AC-02, AC-03, AC-05, AC-06, AC-10, AC-16, AC-17, AC-18, AC-19, AC-24, IA-13</t>
  </si>
  <si>
    <t>PE-02, PE-03, PE-04, PE-05, PE-06, PE-08, PE-18, PE-19, PE-20</t>
  </si>
  <si>
    <t>CA-03, CP-09, MP-08, SC-04, SC-07, SC-12, SC-13, SC-28, SC-32, SC-39, SC-43, SI-03, SI-04, SI-07</t>
  </si>
  <si>
    <t>AU-16, CA-03, SC-04, SC-07, SC-08, SC-11, SC-12, SC-13, SC-16, SC-40, SC-43, SI-03, SI-04, SI-07</t>
  </si>
  <si>
    <t>AC-02, AC-03, AC-04, AU-09, AU-13, CA-03, CP-09, SA-08, SC-04, SC-07, SC-11, SC-13, SC-24, SC-32, SC-39, SC-40, SC-43, SI-03, SI-04, SI-07, SI-10, SI-16</t>
  </si>
  <si>
    <t>CM-01, CM-02, CM-03, CM-04, CM-05, CM-06, CM-07, CM-08, CM-09, CM-10, CM-11</t>
  </si>
  <si>
    <t>CM-11, MA-03(06), SA-10(01), SI-02, SI-07</t>
  </si>
  <si>
    <t>CM-07(09), SA-10(03), SC-03(01), SC-39(01), SC-49, SC-51</t>
  </si>
  <si>
    <t>CM-07(02), CM-07(04), CM-07(05), SC-34</t>
  </si>
  <si>
    <t>SA-03, SA-08, SA-10, SA-11, SA-15, SA-17</t>
  </si>
  <si>
    <t>AC-03, AC-04, SC-04, SC-05, SC-07</t>
  </si>
  <si>
    <t>CP-02, PE-09, PE-10, PE-11, PE-12, PE-13, PE-14, PE-15, PE-18, PE-23</t>
  </si>
  <si>
    <t>CP, IR, SA-08, SC-06, SC-24, SC-36, SC-39, SI-13</t>
  </si>
  <si>
    <t>AC-02, AU-12, CA-07, CM-03, SC-05, SC-07, SI-04</t>
  </si>
  <si>
    <t>CA-07, PE-03, PE-06, PE-20</t>
  </si>
  <si>
    <t>AC-02, AU-12, AU-13, CA-07, CM-10, CM-11</t>
  </si>
  <si>
    <t>CA-07, PS-07, SA-04, SA-09, SI-04</t>
  </si>
  <si>
    <t>AC-04, AC-09, AU-12, CA-07, CM-03, CM-06, CM-10, CM-11, SC-34, SC-35, SI-04, SI-07</t>
  </si>
  <si>
    <t>AU-06, CA-07, IR-04, SI-04</t>
  </si>
  <si>
    <t>AU-06, CA-07, PM-16, IR-04, IR-05, IR-08, SI-04</t>
  </si>
  <si>
    <t>PM-09, PM-11, PM-18, PM-28, PM-30</t>
  </si>
  <si>
    <t>IR-04, PM-15, PM-16, RA-04, RA-10</t>
  </si>
  <si>
    <t>IR-06, IR-07, IR-08, SR-03, SR-08</t>
  </si>
  <si>
    <t>IR-04, IR-05, IR-06</t>
  </si>
  <si>
    <t>IR-04, IR-05, IR-06, IR-07</t>
  </si>
  <si>
    <t>IR-04, IR-08</t>
  </si>
  <si>
    <t>AU-07, IR-04</t>
  </si>
  <si>
    <t>AU-07, IR-04, IR-06</t>
  </si>
  <si>
    <t>IR-04, IR-08, RA-03, RA-07</t>
  </si>
  <si>
    <t>IR-04, IR-06, IR-07, SR-03, SR-08</t>
  </si>
  <si>
    <t>CP-10, IR-04, IR-08</t>
  </si>
  <si>
    <t>CP-02, CP-04, CP-09</t>
  </si>
  <si>
    <t>PM-08, PM-09, PM-11, IR-01, IR-08</t>
  </si>
  <si>
    <t>IR-04, IR-06, SR-08</t>
  </si>
  <si>
    <t>CP-02, IR-04</t>
  </si>
  <si>
    <t>NIST SP 800-53v.5</t>
  </si>
  <si>
    <t>PM-09, PM-18, PM-30, SR-03, SR-05, SR-06, SR-08</t>
  </si>
  <si>
    <t>AC-01, AT-01, AU-01, CA-01, CM-01, CP-01, IA-01, IR-01, MA-01, MP-01, PE-01, PL-01, PM-01, PS-01, PT-01, RA-01, SA-01, SC-01, SI-01, SR-01, PM-28, PT</t>
  </si>
  <si>
    <t>PM-11, PM-30, RA-07, SA-09, SR-05</t>
  </si>
  <si>
    <t>PM-09, RA-07, SR-02</t>
  </si>
  <si>
    <t>PM-03, PM-09, PM-30, RA-07, SR-02</t>
  </si>
  <si>
    <t>PM-09, PM-28, PM-30, SR-02</t>
  </si>
  <si>
    <t>PM-09, PM-30</t>
  </si>
  <si>
    <t>PM-09, PM-18, PM-28, PM-30, RA-03</t>
  </si>
  <si>
    <t>PM-02, PM-19, PM-23, PM-24, PM-29</t>
  </si>
  <si>
    <t>PM-02, PM-13, PM-19, PM-23, PM-24, PM-29</t>
  </si>
  <si>
    <t>PM-13, PS-01, PS-07, PS-09</t>
  </si>
  <si>
    <t>AC-01, AT-01, AU-01, CA-01, CM-01, CP-01, IA-01, IR-01, MA-01, MP-01, PE-01, PL-01, PM-01, PS-01, PT-01, RA-01, SA-01, SC-01, SI-01, SR-01</t>
  </si>
  <si>
    <t>AC-01, AT-01, AU-01, CA-01, CM-01, CP-01, IA-01, IR-01, MA-01, MP-01, PE-01, PL-01, PM-01, PS-01, PT-01, RA-01, SA-01, SC-01, SI-01, SR-01, PM-09, PM-18, PM-30, PM-31, RA-07, SR-06</t>
  </si>
  <si>
    <t>PM-30, SR-02, SR-03</t>
  </si>
  <si>
    <t>SR-02, SR-03, SR-05</t>
  </si>
  <si>
    <t>AC-01, AT-01, AU-01, CA-01, CM-01, CP-01, IA-01, IR-01, MA-01, MP-01, PE-01, PL-01, PM-01, PS-01, PT-01, RA-01, SA-01, SC-01, SI-01, SR-01, PM-09, PM-18, PM-30, PM-31, SR-02, SR-03, RA-03, RA-07</t>
  </si>
  <si>
    <t>RA-09, SA-09, SR-06</t>
  </si>
  <si>
    <t>SA-04, SA-09, SR-03, SR-05, SR-06, SR-10</t>
  </si>
  <si>
    <t>SA-04, SA-09, SR-05, SR-06</t>
  </si>
  <si>
    <t>RA-09, SA-04, SA-09, SR-03, SR-06</t>
  </si>
  <si>
    <t>SA-04, SA-09, SR-02, SR-03, SR-08, CP-01, IR-01</t>
  </si>
  <si>
    <t>PM-09, PM-19, PM-28, PM-30, PM-31, RA-03, RA-07, SA-04, SA-09, SR-02, SR-03, SR-05, SR-06</t>
  </si>
  <si>
    <t>PM-31, RA-03, RA-05, RA-07, SA-04, SA-09, SR-02, SR-03, SR-05, SR-06</t>
  </si>
  <si>
    <t>CM-08, PM-05</t>
  </si>
  <si>
    <t>AC-20, CM-08, PM-05, SA-05, SA-09</t>
  </si>
  <si>
    <t>AC-04, CA-03, CA-09, PL-02, PL-08, PM-07</t>
  </si>
  <si>
    <t>AC-20, SA-09, SR-02</t>
  </si>
  <si>
    <t>RA-03, RA-09, RA-02</t>
  </si>
  <si>
    <t>CM-12, CM-13, SI-12</t>
  </si>
  <si>
    <t>SI-05, PM-15, PM-16</t>
  </si>
  <si>
    <t>PM-12, PM-16, RA-03, SI-05</t>
  </si>
  <si>
    <t>PM-09, PM-11, RA-02, RA-03, RA-08, RA-09</t>
  </si>
  <si>
    <t>PM-16, RA-02, RA-03, RA-07</t>
  </si>
  <si>
    <t>PM-09, PM-18, PM-30, RA-07</t>
  </si>
  <si>
    <t>CA-07, CM-03, CM-04</t>
  </si>
  <si>
    <t>AC-01, AT-01, AU-01, CA-01, CM-01, CP-01, IA-01, IR-01, MA-01, MP-01, PE-01, PL-01, PM-01, PS-01, PT-01, RA-01, SA-01, SC-01, SI-01, SR-01, CA-02, CA-05, CA-07, CA-08, CP-02, IR-04, IR-08, PL-02, RA-03, RA-05, RA-07, SA-08, SA-11, SA-17(06), SI-02, SI-04, SR-05</t>
  </si>
  <si>
    <t>AC-01, AT-01, AU-01, CA-01, CM-01, CP-01, IA-01, IR-01, MA-01, MP-01, PE-01, PL-01, PM-01, PS-01, PT-01, RA-01, SA-01, SC-01, SI-01, SR-01, CA-02, CA-05, CA-07, CA-08, CP-02, CP-04, IR-03, IR-04, IR-08, PL-02, PM-04, PM-31, RA-03, RA-05, RA-07, SA-08, SA-11, SI-02, SI-04, SR-05</t>
  </si>
  <si>
    <t>AC-01, AT-01, AU-01, CA-01, CM-01, CP-01, IA-01, IR-01, MA-01, MP-01, PE-01, PL-01, PM-01, PS-01, PT-01, RA-01, SA-01, SC-01, SI-01, SR-01, CA-02, CA-05, CA-07, CA-08, CP-02, IR-04, IR-08, PL-02, PM-04, PM-31, RA-03, RA-05, RA-07, SA-04, SA-08, SA-11, SI-02, SI-04, SR-05</t>
  </si>
  <si>
    <t>CP-02, IR-08, PL-02, SR-02</t>
  </si>
  <si>
    <t>AC-01, AC-02, AC-14, IA-01, IA-02, IA-03, IA-04, IA-05, IA-06, IA-07, IA-08, IA-09, IA-10, IA-11</t>
  </si>
  <si>
    <t>AC-07, AC-12, IA-02, IA-03, IA-05, IA-07, IA-08, IA-09, IA-10, IA-11</t>
  </si>
  <si>
    <t>AT-02, AT-03</t>
  </si>
  <si>
    <t>CP-06, CP-09</t>
  </si>
  <si>
    <t>AU-02, AU-03, AU-06, AU-07, AU-11, AU-12</t>
  </si>
  <si>
    <t>CP-06, CP-07, CP-08, PM-03, PM-09</t>
  </si>
  <si>
    <t>PM-16, RA-03, RA-10</t>
  </si>
  <si>
    <t>Базовий профіль - ДССЗЗІ</t>
  </si>
  <si>
    <t>Опис наслідку CSF - ДССЗЗІ 2026</t>
  </si>
  <si>
    <t>забезпечити розуміння місії суб’єкта та її врахування при управлінні ризиками кібербезпеки.</t>
  </si>
  <si>
    <t>визначити внутрішніх та зовнішніх заінтересованих сторін, забезпечити розуміння та врахування їхніх потреб і очікувань щодо управління ризиками.</t>
  </si>
  <si>
    <t>визначити та забезпечити виконання співробітниками чинних законодавчих, нормативних та договірних вимог, а також вимог суб’єкта щодо кібербезпеки, включаючи вимоги щодо нерозголошення конфіденційної інформації та захисту прав та свобод.</t>
  </si>
  <si>
    <t>визначити та довести до відома співробітників ключові цілі, критичні послуги та спроможності суб’єкта.</t>
  </si>
  <si>
    <t>визначити наслідки, спроможності та послуги, від яких залежить діяльність суб’єкта, забезпечити їх усвідомлення співробітниками.</t>
  </si>
  <si>
    <t>визначити та узгодити із заінтересованими сторонами суб’єкта цілі управління ризиками кібербезпеки.</t>
  </si>
  <si>
    <t>визначити допустимий рівень ризику кібербезпеки, який суб’єкт може прийняти, довести до відома всіх співробітників та заінтересованих сторін і підтримувати таку інформацію в актуальному стані.</t>
  </si>
  <si>
    <t>додати до загальних процесів управління ризиками суб’єкта діяльність з управління ризиками кібербезпеки та досягнення її цілей.</t>
  </si>
  <si>
    <t>визначити та довести до відома співробітників стратегічні напрями, які описують відповідні варіанти реагування на ризики кібербезпеки.</t>
  </si>
  <si>
    <t>визначити та довести до відома співробітників способи обміну інформацією всередині суб’єкта щодо ризиків кібербезпеки, включаючи ризики, які несуть постачальники товарів, робіт, послуг та інші треті сторони.</t>
  </si>
  <si>
    <t>визначити та довести до відома співробітників стандартизовані методи розрахунку, документування, ідентифікації та визначення пріоритетності ризиків кібербезпеки.</t>
  </si>
  <si>
    <t>визначити, охарактеризувати та забезпечувати обговорення зі співробітниками суб’єкта стратегічних можливостей щодо управління ризиками кібербезпеки.</t>
  </si>
  <si>
    <t>визначити із числа керівництва суб’єкта посадову особу, яка звітує про ризики кібербезпеки та підтримання культури поведінки щодо усвідомлення ризиків та етики, її постійне вдосконалення, а також відповідає за них.</t>
  </si>
  <si>
    <t>встановити, забезпечити комунікацію, розуміння та дотримання ролей та повноважень щодо управління ризиками.</t>
  </si>
  <si>
    <t/>
  </si>
  <si>
    <t>включити питання кібербезпеки в практики управління персоналом.</t>
  </si>
  <si>
    <t>розробити та довести до відома співробітників суб’єкта політику управління ризиками кібербезпеки, яка визначена з урахуванням структури суб’єкта, стратегії кібербезпеки та пріоритетів.</t>
  </si>
  <si>
    <t>забезпечити періодичний перегляд, оновлення та виконання політики управління ризиками кібербезпеки з урахуванням змін нормативних вимог, загроз, технологій та місії суб’єкта.</t>
  </si>
  <si>
    <t>забезпечити перегляд і коригування стратегії управління ризиками кібербезпеки для забезпечення охоплення нею вимог суб’єкта та ризиків.</t>
  </si>
  <si>
    <t>розробити програму, стратегію, цілі, політики та процеси управління кібербезпеки, пов’язаними з ланцюгами постачання, погодити їх із заінтересованими сторонами суб’єкта.</t>
  </si>
  <si>
    <t>розробити, довести, здійснювати внутрішню та зовнішню координацію ролей з кібербезпеки при їх виконанні постачальниками товарів, робіт, послуг, користувачами та партнерами суб’єкта.</t>
  </si>
  <si>
    <t>забезпечити інтеграцію управління ризиками ланцюга постачання у сфері кібербезпеки в процеси управління ризиками кібербезпеки суб’єкта, оцінку ризиків і їх вдосконалення.</t>
  </si>
  <si>
    <t>визначити та пріоритизувати постачальників товарів, робіт, послуг за ступенем критичності.</t>
  </si>
  <si>
    <t>встановити вимоги, пов’язані з ризиками кібербезпеки в ланцюгах постачання, та впровадити їх в договори/контракти або інші типи договорів з постачальниками товарів, робіт, послуг та відповідними третіми сторонами.</t>
  </si>
  <si>
    <t>забезпечити планування та комплексну перевірку постачальників товарів, робіт, послуг або інших третіх сторін для зменшення ризиків кібербезпеки перед початком договірних відносин з ними.</t>
  </si>
  <si>
    <t>визначити ризики кібербезпеки, пов’язані з постачальником товарів, робіт, послуг, його продукцією та послугами, які він надає, з іншими третіми сторонами, усвідомити їх, зареєструвати, пріоритизувати та забезпечити реагування на них і контроль протягом всієї співпраці.</t>
  </si>
  <si>
    <t>забезпечити залучення відповідних постачальників товарів, робіт, послуг та інших третіх сторін до діяльності щодо планування, реагування на кіберінциденти, кібератаки, кіберзагрози та відновлення після них.</t>
  </si>
  <si>
    <t>інтегрувати практичні заходи щодо забезпечення безпеки ланцюга постачання в програми суб’єкта щодо кібербезпеки та управління ризиками кібербезпеки, контролювати їх ефективність протягом всього життєвого циклу користування продуктами та послугами, які суб’єкт отримує від  постачальника товарів, робіт, послуг чи інших третіх сторін.</t>
  </si>
  <si>
    <t>забезпечити періодичне проведення інвентаризації обладнання,  яким керує суб’єкт.</t>
  </si>
  <si>
    <t>забезпечити періодичне проведення інвентаризації програмного забезпечення, послуг і систем, якими керує суб’єкт.</t>
  </si>
  <si>
    <t>забезпечити підтримку використання авторизованих мережевих з’єднань та  визначити внутрішні і зовнішні мережеві потоки.</t>
  </si>
  <si>
    <t>забезпечити періодичне проведення інвентаризації послуг, що надаються постачальниками товарів, робіт, послуг.</t>
  </si>
  <si>
    <t>провести розподіл активів за пріоритетністю, враховуючи їх класифікацію, критичність, ресурси, вплив на місію суб’єкта.</t>
  </si>
  <si>
    <t>організувати отримання інформації про кіберзагрози та вразливості з платформи обміну інформацією про кіберінциденти, кібератаки, кіберзагрози, з репозитарію інформації про кіберінциденти, інших офіційних джерел.</t>
  </si>
  <si>
    <t>визначити та задокументувати внутрішні та зовнішні кіберзагрози.</t>
  </si>
  <si>
    <t>визначити та задокументувати потенційні наслідки та вірогідні загрози, пов’язані з експлуатацією кіберзагроз та вразливостей.</t>
  </si>
  <si>
    <t>забезпечити використання інформації про вірогідні кіберзагрози, вразливості та можливі наслідки від їх настання для розуміння невід’ємного ризику кібербезпеки та інформування про пріоритетність реагування на ризики.</t>
  </si>
  <si>
    <t>визначити заходи реагування на ризики кібербезпеки та  встановити їх пріоритетність, забезпечити їх відслідковування та комунікацію щодо них.</t>
  </si>
  <si>
    <t>забезпечити управління, оцінювання на предмет ризику кібербезпеки, реєстрацію та відстеження змін та винятків до затвердженої документації.</t>
  </si>
  <si>
    <t>забезпечити проведення оцінювання  постачальників товарів, робіт, послуг перед придбанням у них критично важливих для суб’єкта товарів, робіт і послуг.</t>
  </si>
  <si>
    <t>визначити напрями удосконалення за результатами тестування безпеки та навчальних вправ, включаючи їх виконання у взаємодії з постачальниками товарів, робіт, послуг та відповідними третіми сторонами.</t>
  </si>
  <si>
    <t>покращення з управління ризиками кібербезпеки під час виконання операційних процесів, процедур і дій.</t>
  </si>
  <si>
    <t>розробити, затвердити, довести до відома співробітників, переглядати та удосконалювати план реагування на кіберінциденти, кібератаки або кіберзагрози відповідно до Національного плану реагування на кіберінциденти, кібератаки та кіберзагрози, затвердженого постановою Кабінету Міністрів України від 26 листопада 2025 року № 1533, внутрішні політики кібербезпеки, план кіберзахисту та інші регламентуючі документи, які впливають на діяльність суб’єкта.</t>
  </si>
  <si>
    <t>забезпечити на рівні суб’єкта керування обліковими даними для авторизованих користувачів, служб і апаратного забезпечення.</t>
  </si>
  <si>
    <t>забезпечити перевіряння, захист і передавання інформації про запити на ідентифікацію.</t>
  </si>
  <si>
    <t>здійснювати управління та моніторинг фізичного доступу до активів відповідно до ризику кібербезпеки.</t>
  </si>
  <si>
    <t>систематично проводити інструктажі та тренінги з кібергігієни, а також забезпечити обізнаність і навченість співробітників таким чином, що вони мали знання та навички для виконання основних завдань щодо ризиків кібербезпеки.</t>
  </si>
  <si>
    <t>забезпечити обізнаність та навченість співробітників, які безпосередньо виконують завдання із забезпечення кібербезпеки, кіберзахисту таким чином, що вони мали знання та навички для виконання встановлених завдань щодо ризиків кібербезпеки.</t>
  </si>
  <si>
    <t>забезпечити конфіденційність, цілісність і доступність даних, що зберігаються в обладнанні систем суб’єкта.</t>
  </si>
  <si>
    <t>та застосовувати методи керування конфігурацією.</t>
  </si>
  <si>
    <t>забезпечити належне обслуговування, заміну та видалення програмного забезпечення відповідно до ризику кібербезпеки.</t>
  </si>
  <si>
    <t>забезпечити обслуговування, заміну та видалення обладнання відповідно до ризику кібербезпеки.</t>
  </si>
  <si>
    <t>встановлення та виконання несанкціонованого програмного забезпечення.</t>
  </si>
  <si>
    <t>проводити постійний моніторинг мереж і мережевих служб для виявлення потенційно несприятливих подій.</t>
  </si>
  <si>
    <t>проводити постійний моніторинг діяльності співробітників і використання ними технологій для виявлення потенційно несприятливих подій.</t>
  </si>
  <si>
    <t>проводити постійний моніторинг діяльності і послуг зовнішнього постачальника товарів, робіт, послуг для виявлення потенційно несприятливих подій.</t>
  </si>
  <si>
    <t>забезпечити  передавання інформації про несприятливі події до уповноважених суб’єктів для використання відповідного інструментарію.</t>
  </si>
  <si>
    <t>забезпечити збирання, виявлення та аналіз інформації про кіберзагрози  та іншої контекстної інформації.</t>
  </si>
  <si>
    <t>запровадити належну ідентифікацію кіберінцидентів та кібератак за визначними характеристиками.</t>
  </si>
  <si>
    <t>упровадити виконання плану реагування на кіберінциденти, кібератаки або кіберзагрози в координації з відповідними третіми сторонами одразу після оголошення кіберінциденту.</t>
  </si>
  <si>
    <t>упровадити сортування звітів про кіберінциденти після їх підтвердження.</t>
  </si>
  <si>
    <t>таксономію та пріоритизацію кіберінцидентів.</t>
  </si>
  <si>
    <t>упровадити інформування та підвищення рівнів критичності кіберінцидентів (за потреби).</t>
  </si>
  <si>
    <t>упровадити застосування критеріїв для ініціювання відновлення після кіберінциденту.</t>
  </si>
  <si>
    <t>запровадити проведення аналізу для встановлення того, що відбулося під час кіберінциденту та які джерела виникнення кіберінциденту.</t>
  </si>
  <si>
    <t>запровадити здійснення запису дій, які виконуються під час розслідування кіберінциденту, та забезпечити цілісність і збереження таких записів.</t>
  </si>
  <si>
    <t>запровадити здійснення збору та забезпечити цілісність та збереження даних про кіберінциденти та метаданих.</t>
  </si>
  <si>
    <t>запровадити оцінювання масштабу кіберінциденту або кібератаки та  документально його підтверджувати.</t>
  </si>
  <si>
    <t>запровадити сповіщення внутрішніх та зовнішніх заінтересованих сторін про кіберінциденти, кібератаки та кіберзагрози.</t>
  </si>
  <si>
    <t>забезпечити локалізацію кіберінцидентів.</t>
  </si>
  <si>
    <t>забезпечити ліквідацію кіберінцидентів.</t>
  </si>
  <si>
    <t>забезпечити виконання передбачених планом реагування на кіберінциденти, кібератаки або кіберзагрози заходів щодо відновлення одразу після їх ініціалізації в ході реагування на кіберінциденти, кібератаки та кіберзагрози.</t>
  </si>
  <si>
    <t>забезпечити відбір, визначення обсягу, пріоритетність та  виконання заходів з відновлення.</t>
  </si>
  <si>
    <t>переглянути критичні для місії суб’єкта функції для  встановлення операційних норм після кіберінцидентів і кібератак.</t>
  </si>
  <si>
    <t>задекларувати завершення відновлення після кіберінциденту, кібератаки  і підтвердження критеріїв та пов’язаної з кіберінцидентом документації.</t>
  </si>
  <si>
    <t>запровадити інформування суспільства про відновлення після кіберінциденту, кібератаки, використовуючи затверджені методи та повідомлення, відповідно до Порядку публічного інформування або звітування про реагування на кіберінциденти, кібератаки, усунення їх наслідків, затвердженого постановою Кабінету Міністрів України від 26 листопада 2025 року № 1533.</t>
  </si>
  <si>
    <t>Різниця в описі наслідку CSF - ДССЗЗІ 2025</t>
  </si>
  <si>
    <t>Так</t>
  </si>
  <si>
    <t>*</t>
  </si>
  <si>
    <t>**</t>
  </si>
  <si>
    <t>***</t>
  </si>
  <si>
    <t>****</t>
  </si>
  <si>
    <t>Оператори критичної інфраструктури та власники або розпорядники ОКІІ І та ІІ категорій критичності</t>
  </si>
  <si>
    <t>Оператори критичної інфраструктури та власники або розпорядники ОКІІ ІІІ та IV категорій критичності</t>
  </si>
  <si>
    <t>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t>
  </si>
  <si>
    <t>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t>
  </si>
  <si>
    <t>*УТОЧЧНІТЬ ЗАСТОСОВНІ ВИМОГИ* Мінімальна вимога?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</si>
</sst>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charset val="204"/>
      <scheme val="minor"/>
    </font>
    <font>
      <sz val="11"/>
      <color theme="1"/>
      <name val="Calibri"/>
      <family val="2"/>
      <charset val="204"/>
      <scheme val="minor"/>
    </font>
    <font>
      <b/>
      <sz val="11"/>
      <color theme="0"/>
      <name val="Calibri"/>
      <family val="2"/>
      <charset val="204"/>
      <scheme val="minor"/>
    </font>
    <font>
      <b/>
      <sz val="9"/>
      <color indexed="81"/>
      <name val="Tahoma"/>
      <family val="2"/>
      <charset val="204"/>
    </font>
    <font>
      <sz val="9"/>
      <color indexed="81"/>
      <name val="Tahoma"/>
      <family val="2"/>
      <charset val="204"/>
    </font>
    <font>
      <sz val="11"/>
      <name val="Calibri"/>
      <family val="2"/>
      <scheme val="minor"/>
    </font>
    <font>
      <sz val="11"/>
      <name val="Calibri (Body)"/>
    </font>
    <font>
      <sz val="11"/>
      <color rgb="FFFF0000"/>
      <name val="Calibri"/>
      <family val="2"/>
      <scheme val="minor"/>
    </font>
    <font>
      <sz val="11"/>
      <name val="Calibri"/>
      <family val="2"/>
      <charset val="204"/>
      <scheme val="minor"/>
    </font>
    <font>
      <sz val="8"/>
      <name val="Calibri"/>
      <family val="2"/>
      <charset val="204"/>
      <scheme val="minor"/>
    </font>
  </fonts>
  <fills count="3">
    <fill>
      <patternFill patternType="none"/>
    </fill>
    <fill>
      <patternFill patternType="gray125"/>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5" fillId="0" borderId="0" xfId="0" applyFont="1" applyAlignment="1">
      <alignment horizontal="left" vertical="top" wrapText="1"/>
    </xf>
    <xf numFmtId="0" fontId="5" fillId="0" borderId="0" xfId="0" applyFont="1"/>
    <xf numFmtId="0" fontId="5" fillId="0" borderId="0" xfId="0" applyFont="1" applyAlignment="1">
      <alignment wrapText="1"/>
    </xf>
    <xf numFmtId="0" fontId="6" fillId="0" borderId="0" xfId="0" applyFont="1" applyAlignment="1">
      <alignment horizontal="left" vertical="top" wrapText="1"/>
    </xf>
    <xf numFmtId="0" fontId="7" fillId="0" borderId="0" xfId="0" applyFont="1" applyAlignment="1">
      <alignment horizontal="left" vertical="top" wrapText="1"/>
    </xf>
    <xf numFmtId="0" fontId="0" fillId="0" borderId="0" xfId="0" applyAlignment="1">
      <alignment horizontal="center" vertical="top" wrapText="1"/>
    </xf>
    <xf numFmtId="0" fontId="8" fillId="0" borderId="0" xfId="0" applyFont="1"/>
    <xf numFmtId="0" fontId="1"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 fillId="2" borderId="3" xfId="0" applyFont="1" applyFill="1" applyBorder="1" applyAlignment="1">
      <alignment horizontal="left" vertical="center" wrapText="1"/>
    </xf>
    <xf numFmtId="0" fontId="1" fillId="0" borderId="3" xfId="0" applyFont="1" applyBorder="1" applyAlignment="1">
      <alignment horizontal="left" vertical="center" wrapText="1"/>
    </xf>
    <xf numFmtId="0" fontId="2" fillId="2" borderId="4" xfId="0" applyFont="1" applyFill="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6" xfId="0" applyBorder="1" applyAlignment="1">
      <alignment horizontal="left" vertical="center" wrapText="1"/>
    </xf>
    <xf numFmtId="0" fontId="2" fillId="2" borderId="2"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9" xfId="0" applyFont="1" applyFill="1" applyBorder="1" applyAlignment="1">
      <alignment horizontal="left" vertical="center" wrapText="1"/>
    </xf>
  </cellXfs>
  <cellStyles count="1">
    <cellStyle name="Normal" xfId="0" builtinId="0"/>
  </cellStyles>
  <dxfs count="43">
    <dxf>
      <font>
        <color rgb="FF9C0006"/>
      </font>
      <fill>
        <patternFill>
          <bgColor rgb="FFFFC7CE"/>
        </patternFill>
      </fill>
    </dxf>
    <dxf>
      <font>
        <color rgb="FF006100"/>
      </font>
      <fill>
        <patternFill>
          <bgColor rgb="FFC6EFCE"/>
        </patternFill>
      </fill>
    </dxf>
    <dxf>
      <font>
        <strike val="0"/>
        <outline val="0"/>
        <shadow val="0"/>
        <u val="none"/>
        <vertAlign val="baseline"/>
        <sz val="11"/>
        <color auto="1"/>
      </font>
      <numFmt numFmtId="0" formatCode="General"/>
    </dxf>
    <dxf>
      <font>
        <strike val="0"/>
        <outline val="0"/>
        <shadow val="0"/>
        <u val="none"/>
        <vertAlign val="baseline"/>
        <sz val="11"/>
        <color auto="1"/>
      </font>
      <numFmt numFmtId="0" formatCode="General"/>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strike val="0"/>
        <outline val="0"/>
        <shadow val="0"/>
        <u val="none"/>
        <vertAlign val="baseline"/>
        <sz val="11"/>
        <color auto="1"/>
      </font>
    </dxf>
    <dxf>
      <font>
        <b val="0"/>
        <i val="0"/>
        <strike val="0"/>
        <condense val="0"/>
        <extend val="0"/>
        <outline val="0"/>
        <shadow val="0"/>
        <u val="none"/>
        <vertAlign val="baseline"/>
        <sz val="11"/>
        <color theme="1"/>
        <name val="Calibri"/>
        <family val="2"/>
        <charset val="204"/>
        <scheme val="minor"/>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libri"/>
        <family val="2"/>
        <charset val="204"/>
        <scheme val="minor"/>
      </font>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charset val="204"/>
        <scheme val="minor"/>
      </font>
      <fill>
        <patternFill patternType="solid">
          <fgColor indexed="64"/>
          <bgColor theme="1"/>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C621FE-8E43-4594-89A5-7FE06C2BDC29}" name="Table2" displayName="Table2" ref="A1:AC107" totalsRowShown="0" headerRowDxfId="42" dataDxfId="41" tableBorderDxfId="40">
  <autoFilter ref="A1:AC107" xr:uid="{D0C621FE-8E43-4594-89A5-7FE06C2BDC29}"/>
  <tableColumns count="29">
    <tableColumn id="1" xr3:uid="{96479CD5-D377-493B-B54D-2C06228A593E}" name="Наслідок CSF (Функція, категорія або підкатегорія)" dataDxfId="39"/>
    <tableColumn id="2" xr3:uid="{39EEDE51-6EE8-465C-AF31-B0240C7D79FE}" name="Опис наслідку CSF" dataDxfId="38"/>
    <tableColumn id="3" xr3:uid="{CFB0EF65-C775-4764-B5BE-261BD8A4E02F}" name="Опис наслідку CSF - ДССЗЗІ 2026" dataDxfId="37"/>
    <tableColumn id="4" xr3:uid="{EB9A961B-37DE-41DA-860F-9BE1FFAF8054}" name="Різниця в описі наслідку CSF - ДССЗЗІ 2025" dataDxfId="36"/>
    <tableColumn id="6" xr3:uid="{365F3883-CC89-4F8A-915C-9173B275F61E}" name="Включено в профіль?" dataDxfId="35"/>
    <tableColumn id="7" xr3:uid="{0CB3734B-DC4C-410F-A586-B82A09B8134B}" name="Обгрунтування" dataDxfId="34"/>
    <tableColumn id="8" xr3:uid="{81DFC4B5-6D24-4F7F-8816-00AA8B3D541D}" name="CIS NIST CSF Policy Template Guide" dataDxfId="33"/>
    <tableColumn id="10" xr3:uid="{D33402E8-8F2E-4B56-B35B-3212962C5973}" name="Поточний пріоритет" dataDxfId="32"/>
    <tableColumn id="11" xr3:uid="{CE18B22A-9535-4B5F-A4DA-73FD2FBA04E7}" name="NIST SP 800-61r3 ipd " dataDxfId="31"/>
    <tableColumn id="12" xr3:uid="{A109E505-C32E-4620-9AA2-4145A47D995A}" name="Поточний стан" dataDxfId="30"/>
    <tableColumn id="13" xr3:uid="{C5390939-A2CA-483D-830A-73059B1E2DB9}" name="Поточні політики, процеси та процедури" dataDxfId="29"/>
    <tableColumn id="14" xr3:uid="{08BF4034-4AB9-4532-BE3F-685574007849}" name="Поточні внутрішні практики" dataDxfId="28"/>
    <tableColumn id="15" xr3:uid="{952630BE-F714-4FE2-9CB1-D20C269B94AC}" name="Поточні ролі та обов'язки" dataDxfId="27"/>
    <tableColumn id="16" xr3:uid="{26706BEB-651D-4A84-84B9-9468FCEE008C}" name="Поточні обрані інформативні посилання" dataDxfId="26"/>
    <tableColumn id="17" xr3:uid="{D246F97A-959D-4B78-BDF1-3783DD567BEE}" name="Поточні артефакти та докази" dataDxfId="25"/>
    <tableColumn id="18" xr3:uid="{45DDE021-56D9-45E2-A2F5-3C29E6D01EFA}" name="Цільовий пріоритет" dataDxfId="24"/>
    <tableColumn id="19" xr3:uid="{14CA0431-79EB-48E0-9B9E-DCAEE67E0EBE}" name="Цільовий рівень CSF" dataDxfId="23"/>
    <tableColumn id="20" xr3:uid="{7861E659-F6ED-4821-B78F-0BF2812A03B4}" name="Цільові політики, процеси та процедури" dataDxfId="22"/>
    <tableColumn id="21" xr3:uid="{B414F5F9-1C3F-4366-8B6D-314D9FE3D843}" name="Цільові внутрішні практики" dataDxfId="21"/>
    <tableColumn id="22" xr3:uid="{B8A247F4-070D-4467-B635-0C09C327CC50}" name="Цільові ролі та обов'язки" dataDxfId="20"/>
    <tableColumn id="23" xr3:uid="{D65FC958-0BE6-4884-9A31-C906EDA0E53E}" name="Цільові обрані інформативні посилання" dataDxfId="19"/>
    <tableColumn id="24" xr3:uid="{3FDFAF2F-0AE5-4282-9B43-BCA72F2A2905}" name="NIST CSF 1.1 Reference" dataDxfId="18"/>
    <tableColumn id="25" xr3:uid="{850C317F-A02F-444B-B30C-2C00BEAA70E6}" name="NIST SP 800-53v.5" dataDxfId="17"/>
    <tableColumn id="30" xr3:uid="{470FB03F-0DC7-4BF5-9C00-67E4E9475DEA}" name="Базовий профіль - ДССЗЗІ" dataDxfId="16"/>
    <tableColumn id="26" xr3:uid="{4B1E83E3-EBC8-4B8D-87BD-D117DD662800}" name="Оператори критичної інфраструктури та власники або розпорядники ОКІІ І та ІІ категорій критичності" dataDxfId="15"/>
    <tableColumn id="27" xr3:uid="{DA1FB636-3E02-4204-88AA-88C27156930B}" name="Оператори критичної інфраструктури та власники або розпорядники ОКІІ ІІІ та IV категорій критичності" dataDxfId="14"/>
    <tableColumn id="28" xr3:uid="{377BEB35-4FCB-4FA8-AFAB-0B4900DBE93C}" name="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 dataDxfId="13"/>
    <tableColumn id="29" xr3:uid="{66C8AE5F-C5AA-4DE1-85E8-2581AFAE103F}" name="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 dataDxfId="12"/>
    <tableColumn id="31" xr3:uid="{D288D006-4C16-4A53-9556-A20C7F8B553D}" name="*УТОЧЧНІТЬ ЗАСТОСОВНІ ВИМОГИ* Мінімальна вимога?" dataDxfId="11">
      <calculatedColumnFormula>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6D96AC-F32B-4169-948A-ED8B32F14E1E}" name="SheetTable02" displayName="SheetTable02" ref="A2:H768" totalsRowShown="0" dataDxfId="10">
  <autoFilter ref="A2:H768" xr:uid="{56B566DA-C5C6-4F0B-BFB0-B3E07F267768}"/>
  <tableColumns count="8">
    <tableColumn id="1" xr3:uid="{149814DA-2722-4F71-B5CE-83931B80C652}" name="Focal Document_x000a_Element" dataDxfId="9"/>
    <tableColumn id="2" xr3:uid="{66010492-E921-4EA8-A2BE-50B117107AAB}" name="Focal Document Element Description" dataDxfId="8"/>
    <tableColumn id="3" xr3:uid="{3EEED40B-AEE7-4159-A62C-0B94DC0610E7}" name="Reference Document_x000a_Element" dataDxfId="7"/>
    <tableColumn id="4" xr3:uid="{3A7860FF-06F6-49B5-8E11-5F1EA8A46E69}" name="Reference Document_x000a_Element Description_x000a_(Optional)" dataDxfId="6"/>
    <tableColumn id="5" xr3:uid="{708687CD-FAD8-40EF-86A2-7D4CED33D59F}" name="Comments_x000a_(Optional)" dataDxfId="5"/>
    <tableColumn id="6" xr3:uid="{2D2069C9-22AD-4962-B1A8-1C0F62E9C50B}" name="Strength of_x000a_Relationship_x000a_(Optional)" dataDxfId="4"/>
    <tableColumn id="7" xr3:uid="{7158F0B1-EAFE-48A0-ACFF-2196130EEB8A}" name="Column1" dataDxfId="3">
      <calculatedColumnFormula>COUNTIF(SheetTable02[Focal Document
Element],A3)</calculatedColumnFormula>
    </tableColumn>
    <tableColumn id="8" xr3:uid="{AD8E560A-DFCD-4661-9076-C915AAACE59E}" name="Column2" dataDxfId="2">
      <calculatedColumnFormula>IF(A3=A2,"",_xlfn.TEXTJOIN(", ", TRUE, C3:INDEX(C:C, ROW(C3)+SheetTable02[[#This Row],[Column1]]-1)))</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ip.gov.ua/ua/news/nakaz-administraciyi-derzhspeczv-yazku-vid-30-01-2026-75-pro-zatverdzhennya-katalogu-zakhodiv-z-kiberzakhistu-bazovikh-zakhodiv-z-kiberzakhistu-formi-planu-kiberzakhistu-ta-metodichnikh-rekomendacii-shodo-zdiisnennya-zakhodiv-z-kiberzakhistu" TargetMode="External"/><Relationship Id="rId1" Type="http://schemas.openxmlformats.org/officeDocument/2006/relationships/hyperlink" Target="https://www.cisecurity.org/-/media/project/cisecurity/cisecurity/data/media/files/uploads/2024/08/cis-ms-isac-nist-cybersecurity-framework-policy-template-guide-2024.pdf"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7173-ED99-4609-83C6-68C339FBDC22}">
  <dimension ref="A1:AC107"/>
  <sheetViews>
    <sheetView tabSelected="1" zoomScale="70" zoomScaleNormal="70" workbookViewId="0">
      <pane ySplit="1" topLeftCell="A2" activePane="bottomLeft" state="frozen"/>
      <selection pane="bottomLeft"/>
    </sheetView>
  </sheetViews>
  <sheetFormatPr defaultRowHeight="14.4"/>
  <cols>
    <col min="1" max="1" width="16.5546875" customWidth="1"/>
    <col min="2" max="2" width="17.109375" customWidth="1"/>
    <col min="3" max="3" width="22.109375" customWidth="1"/>
    <col min="4" max="4" width="27.44140625" customWidth="1"/>
    <col min="5" max="5" width="10" customWidth="1"/>
    <col min="6" max="6" width="11.5546875" hidden="1" customWidth="1"/>
    <col min="7" max="7" width="33.109375" customWidth="1"/>
    <col min="8" max="8" width="14.21875" hidden="1" customWidth="1"/>
    <col min="9" max="12" width="11" hidden="1" customWidth="1"/>
    <col min="13" max="13" width="10.6640625" hidden="1" customWidth="1"/>
    <col min="14" max="15" width="15.109375" hidden="1" customWidth="1"/>
    <col min="16" max="16" width="17.6640625" hidden="1" customWidth="1"/>
    <col min="17" max="18" width="15.109375" hidden="1" customWidth="1"/>
    <col min="19" max="19" width="10.5546875" hidden="1" customWidth="1"/>
    <col min="20" max="20" width="17.33203125" hidden="1" customWidth="1"/>
    <col min="21" max="22" width="18.6640625" hidden="1" customWidth="1"/>
    <col min="23" max="23" width="10" customWidth="1"/>
    <col min="24" max="24" width="22.109375" customWidth="1"/>
    <col min="25" max="25" width="27.21875" customWidth="1"/>
    <col min="26" max="26" width="36.88671875" customWidth="1"/>
    <col min="27" max="27" width="29.6640625" customWidth="1"/>
    <col min="28" max="28" width="38.5546875" customWidth="1"/>
    <col min="29" max="29" width="30.6640625" customWidth="1"/>
  </cols>
  <sheetData>
    <row r="1" spans="1:29" ht="90.6" customHeight="1">
      <c r="A1" s="10" t="s">
        <v>0</v>
      </c>
      <c r="B1" s="9" t="s">
        <v>2</v>
      </c>
      <c r="C1" s="9" t="s">
        <v>847</v>
      </c>
      <c r="D1" s="9" t="s">
        <v>924</v>
      </c>
      <c r="E1" s="9" t="s">
        <v>3</v>
      </c>
      <c r="F1" s="9" t="s">
        <v>4</v>
      </c>
      <c r="G1" s="9" t="s">
        <v>752</v>
      </c>
      <c r="H1" s="9" t="s">
        <v>5</v>
      </c>
      <c r="I1" s="9" t="s">
        <v>6</v>
      </c>
      <c r="J1" s="9" t="s">
        <v>7</v>
      </c>
      <c r="K1" s="9" t="s">
        <v>8</v>
      </c>
      <c r="L1" s="9" t="s">
        <v>9</v>
      </c>
      <c r="M1" s="9" t="s">
        <v>10</v>
      </c>
      <c r="N1" s="9" t="s">
        <v>11</v>
      </c>
      <c r="O1" s="9" t="s">
        <v>12</v>
      </c>
      <c r="P1" s="9" t="s">
        <v>13</v>
      </c>
      <c r="Q1" s="9" t="s">
        <v>14</v>
      </c>
      <c r="R1" s="9" t="s">
        <v>15</v>
      </c>
      <c r="S1" s="9" t="s">
        <v>16</v>
      </c>
      <c r="T1" s="9" t="s">
        <v>17</v>
      </c>
      <c r="U1" s="9" t="s">
        <v>18</v>
      </c>
      <c r="V1" s="9" t="s">
        <v>1</v>
      </c>
      <c r="W1" s="12" t="s">
        <v>799</v>
      </c>
      <c r="X1" s="20" t="s">
        <v>846</v>
      </c>
      <c r="Y1" s="21" t="s">
        <v>930</v>
      </c>
      <c r="Z1" s="22" t="s">
        <v>931</v>
      </c>
      <c r="AA1" s="22" t="s">
        <v>932</v>
      </c>
      <c r="AB1" s="23" t="s">
        <v>933</v>
      </c>
      <c r="AC1" s="20" t="s">
        <v>934</v>
      </c>
    </row>
    <row r="2" spans="1:29" ht="230.4">
      <c r="A2" s="11" t="s">
        <v>19</v>
      </c>
      <c r="B2" s="8" t="s">
        <v>21</v>
      </c>
      <c r="C2" s="8" t="s">
        <v>848</v>
      </c>
      <c r="D2" s="8" t="s">
        <v>22</v>
      </c>
      <c r="E2" s="8"/>
      <c r="F2" s="8"/>
      <c r="G2" s="8" t="s">
        <v>411</v>
      </c>
      <c r="H2" s="8"/>
      <c r="I2" s="8" t="s">
        <v>753</v>
      </c>
      <c r="J2" s="8" t="s">
        <v>23</v>
      </c>
      <c r="K2" s="8"/>
      <c r="L2" s="8"/>
      <c r="M2" s="8"/>
      <c r="N2" s="8"/>
      <c r="O2" s="8"/>
      <c r="P2" s="8"/>
      <c r="Q2" s="8"/>
      <c r="R2" s="8"/>
      <c r="S2" s="8"/>
      <c r="T2" s="8"/>
      <c r="U2" s="8"/>
      <c r="V2" s="8" t="s">
        <v>20</v>
      </c>
      <c r="W2" s="13" t="s">
        <v>425</v>
      </c>
      <c r="X2" s="8" t="s">
        <v>925</v>
      </c>
      <c r="Y2" s="18" t="s">
        <v>926</v>
      </c>
      <c r="Z2" s="18"/>
      <c r="AA2" s="18"/>
      <c r="AB2" s="18"/>
      <c r="AC2" s="18"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3" spans="1:29" ht="158.4">
      <c r="A3" s="11" t="s">
        <v>24</v>
      </c>
      <c r="B3" s="8" t="s">
        <v>26</v>
      </c>
      <c r="C3" s="8" t="s">
        <v>849</v>
      </c>
      <c r="D3" s="8" t="s">
        <v>27</v>
      </c>
      <c r="E3" s="8"/>
      <c r="F3" s="8"/>
      <c r="G3" s="8" t="s">
        <v>711</v>
      </c>
      <c r="H3" s="8"/>
      <c r="I3" s="8" t="s">
        <v>753</v>
      </c>
      <c r="J3" s="8" t="s">
        <v>23</v>
      </c>
      <c r="K3" s="8"/>
      <c r="L3" s="8"/>
      <c r="M3" s="8"/>
      <c r="N3" s="8"/>
      <c r="O3" s="8"/>
      <c r="P3" s="8"/>
      <c r="Q3" s="8"/>
      <c r="R3" s="8"/>
      <c r="S3" s="8"/>
      <c r="T3" s="8"/>
      <c r="U3" s="8"/>
      <c r="V3" s="8" t="s">
        <v>25</v>
      </c>
      <c r="W3" s="13" t="s">
        <v>800</v>
      </c>
      <c r="X3" s="8" t="s">
        <v>925</v>
      </c>
      <c r="Y3" s="17" t="s">
        <v>926</v>
      </c>
      <c r="Z3" s="17" t="s">
        <v>927</v>
      </c>
      <c r="AA3" s="17"/>
      <c r="AB3" s="17"/>
      <c r="AC3"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4" spans="1:29" ht="216">
      <c r="A4" s="11" t="s">
        <v>28</v>
      </c>
      <c r="B4" s="8" t="s">
        <v>30</v>
      </c>
      <c r="C4" s="8" t="s">
        <v>850</v>
      </c>
      <c r="D4" s="8" t="s">
        <v>31</v>
      </c>
      <c r="E4" s="8"/>
      <c r="F4" s="8"/>
      <c r="G4" s="8" t="s">
        <v>711</v>
      </c>
      <c r="H4" s="8"/>
      <c r="I4" s="8" t="s">
        <v>753</v>
      </c>
      <c r="J4" s="8" t="s">
        <v>23</v>
      </c>
      <c r="K4" s="8"/>
      <c r="L4" s="8"/>
      <c r="M4" s="8"/>
      <c r="N4" s="8"/>
      <c r="O4" s="8"/>
      <c r="P4" s="8"/>
      <c r="Q4" s="8"/>
      <c r="R4" s="8"/>
      <c r="S4" s="8"/>
      <c r="T4" s="8"/>
      <c r="U4" s="8"/>
      <c r="V4" s="8" t="s">
        <v>29</v>
      </c>
      <c r="W4" s="13" t="s">
        <v>801</v>
      </c>
      <c r="X4" s="8" t="s">
        <v>925</v>
      </c>
      <c r="Y4" s="17" t="s">
        <v>926</v>
      </c>
      <c r="Z4" s="17" t="s">
        <v>927</v>
      </c>
      <c r="AA4" s="17" t="s">
        <v>928</v>
      </c>
      <c r="AB4" s="17"/>
      <c r="AC4"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5" spans="1:29" ht="129.6">
      <c r="A5" s="11" t="s">
        <v>32</v>
      </c>
      <c r="B5" s="8" t="s">
        <v>34</v>
      </c>
      <c r="C5" s="8" t="s">
        <v>851</v>
      </c>
      <c r="D5" s="8" t="s">
        <v>35</v>
      </c>
      <c r="E5" s="8"/>
      <c r="F5" s="8"/>
      <c r="G5" s="8" t="s">
        <v>712</v>
      </c>
      <c r="H5" s="8"/>
      <c r="I5" s="8" t="s">
        <v>753</v>
      </c>
      <c r="J5" s="8" t="s">
        <v>23</v>
      </c>
      <c r="K5" s="8"/>
      <c r="L5" s="8"/>
      <c r="M5" s="8"/>
      <c r="N5" s="8"/>
      <c r="O5" s="8"/>
      <c r="P5" s="8"/>
      <c r="Q5" s="8"/>
      <c r="R5" s="8"/>
      <c r="S5" s="8"/>
      <c r="T5" s="8"/>
      <c r="U5" s="8"/>
      <c r="V5" s="8" t="s">
        <v>33</v>
      </c>
      <c r="W5" s="13" t="s">
        <v>758</v>
      </c>
      <c r="X5" s="8" t="s">
        <v>862</v>
      </c>
      <c r="Y5" s="17"/>
      <c r="Z5" s="17"/>
      <c r="AA5" s="17"/>
      <c r="AB5" s="17"/>
      <c r="AC5"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6" spans="1:29" ht="100.8">
      <c r="A6" s="11" t="s">
        <v>36</v>
      </c>
      <c r="B6" s="8" t="s">
        <v>38</v>
      </c>
      <c r="C6" s="8" t="s">
        <v>852</v>
      </c>
      <c r="D6" s="8" t="s">
        <v>39</v>
      </c>
      <c r="E6" s="8"/>
      <c r="F6" s="8"/>
      <c r="G6" s="8" t="s">
        <v>713</v>
      </c>
      <c r="H6" s="8"/>
      <c r="I6" s="8" t="s">
        <v>754</v>
      </c>
      <c r="J6" s="8" t="s">
        <v>23</v>
      </c>
      <c r="K6" s="8"/>
      <c r="L6" s="8"/>
      <c r="M6" s="8"/>
      <c r="N6" s="8"/>
      <c r="O6" s="8"/>
      <c r="P6" s="8"/>
      <c r="Q6" s="8"/>
      <c r="R6" s="8"/>
      <c r="S6" s="8"/>
      <c r="T6" s="8"/>
      <c r="U6" s="8"/>
      <c r="V6" s="8" t="s">
        <v>37</v>
      </c>
      <c r="W6" s="13" t="s">
        <v>802</v>
      </c>
      <c r="X6" s="8" t="s">
        <v>862</v>
      </c>
      <c r="Y6" s="17"/>
      <c r="Z6" s="17"/>
      <c r="AA6" s="17"/>
      <c r="AB6" s="17"/>
      <c r="AC6"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7" spans="1:29" ht="86.4">
      <c r="A7" s="11" t="s">
        <v>40</v>
      </c>
      <c r="B7" s="8" t="s">
        <v>42</v>
      </c>
      <c r="C7" s="8" t="s">
        <v>853</v>
      </c>
      <c r="D7" s="8" t="s">
        <v>43</v>
      </c>
      <c r="E7" s="8"/>
      <c r="F7" s="8"/>
      <c r="G7" s="8" t="s">
        <v>714</v>
      </c>
      <c r="H7" s="8"/>
      <c r="I7" s="8" t="s">
        <v>754</v>
      </c>
      <c r="J7" s="8" t="s">
        <v>23</v>
      </c>
      <c r="K7" s="8"/>
      <c r="L7" s="8"/>
      <c r="M7" s="8"/>
      <c r="N7" s="8"/>
      <c r="O7" s="8"/>
      <c r="P7" s="8"/>
      <c r="Q7" s="8"/>
      <c r="R7" s="8"/>
      <c r="S7" s="8"/>
      <c r="T7" s="8"/>
      <c r="U7" s="8"/>
      <c r="V7" s="8" t="s">
        <v>41</v>
      </c>
      <c r="W7" s="13" t="s">
        <v>803</v>
      </c>
      <c r="X7" s="8" t="s">
        <v>925</v>
      </c>
      <c r="Y7" s="17" t="s">
        <v>926</v>
      </c>
      <c r="Z7" s="17"/>
      <c r="AA7" s="17"/>
      <c r="AB7" s="17"/>
      <c r="AC7"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8" spans="1:29" ht="144">
      <c r="A8" s="11" t="s">
        <v>44</v>
      </c>
      <c r="B8" s="8" t="s">
        <v>46</v>
      </c>
      <c r="C8" s="8" t="s">
        <v>854</v>
      </c>
      <c r="D8" s="8" t="s">
        <v>47</v>
      </c>
      <c r="E8" s="8"/>
      <c r="F8" s="8"/>
      <c r="G8" s="8" t="s">
        <v>714</v>
      </c>
      <c r="H8" s="8"/>
      <c r="I8" s="8" t="s">
        <v>754</v>
      </c>
      <c r="J8" s="8" t="s">
        <v>23</v>
      </c>
      <c r="K8" s="8"/>
      <c r="L8" s="8"/>
      <c r="M8" s="8"/>
      <c r="N8" s="8"/>
      <c r="O8" s="8"/>
      <c r="P8" s="8"/>
      <c r="Q8" s="8"/>
      <c r="R8" s="8"/>
      <c r="S8" s="8"/>
      <c r="T8" s="8"/>
      <c r="U8" s="8"/>
      <c r="V8" s="8" t="s">
        <v>45</v>
      </c>
      <c r="W8" s="13" t="s">
        <v>426</v>
      </c>
      <c r="X8" s="8" t="s">
        <v>925</v>
      </c>
      <c r="Y8" s="17" t="s">
        <v>926</v>
      </c>
      <c r="Z8" s="17"/>
      <c r="AA8" s="17"/>
      <c r="AB8" s="17"/>
      <c r="AC8"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9" spans="1:29" ht="115.2">
      <c r="A9" s="11" t="s">
        <v>48</v>
      </c>
      <c r="B9" s="8" t="s">
        <v>50</v>
      </c>
      <c r="C9" s="8" t="s">
        <v>855</v>
      </c>
      <c r="D9" s="8" t="s">
        <v>51</v>
      </c>
      <c r="E9" s="8"/>
      <c r="F9" s="8"/>
      <c r="G9" s="8" t="s">
        <v>715</v>
      </c>
      <c r="H9" s="8"/>
      <c r="I9" s="8" t="s">
        <v>753</v>
      </c>
      <c r="J9" s="8" t="s">
        <v>23</v>
      </c>
      <c r="K9" s="8"/>
      <c r="L9" s="8"/>
      <c r="M9" s="8"/>
      <c r="N9" s="8"/>
      <c r="O9" s="8"/>
      <c r="P9" s="8"/>
      <c r="Q9" s="8"/>
      <c r="R9" s="8"/>
      <c r="S9" s="8"/>
      <c r="T9" s="8"/>
      <c r="U9" s="8"/>
      <c r="V9" s="8" t="s">
        <v>49</v>
      </c>
      <c r="W9" s="13" t="s">
        <v>804</v>
      </c>
      <c r="X9" s="8" t="s">
        <v>925</v>
      </c>
      <c r="Y9" s="17" t="s">
        <v>926</v>
      </c>
      <c r="Z9" s="17" t="s">
        <v>927</v>
      </c>
      <c r="AA9" s="17" t="s">
        <v>928</v>
      </c>
      <c r="AB9" s="17" t="s">
        <v>929</v>
      </c>
      <c r="AC9"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10" spans="1:29" ht="100.8">
      <c r="A10" s="11" t="s">
        <v>52</v>
      </c>
      <c r="B10" s="8" t="s">
        <v>53</v>
      </c>
      <c r="C10" s="8" t="s">
        <v>856</v>
      </c>
      <c r="D10" s="8" t="s">
        <v>54</v>
      </c>
      <c r="E10" s="8"/>
      <c r="F10" s="8"/>
      <c r="G10" s="8" t="s">
        <v>714</v>
      </c>
      <c r="H10" s="8"/>
      <c r="I10" s="8" t="s">
        <v>753</v>
      </c>
      <c r="J10" s="8" t="s">
        <v>23</v>
      </c>
      <c r="K10" s="8"/>
      <c r="L10" s="8"/>
      <c r="M10" s="8"/>
      <c r="N10" s="8"/>
      <c r="O10" s="8"/>
      <c r="P10" s="8"/>
      <c r="Q10" s="8"/>
      <c r="R10" s="8"/>
      <c r="S10" s="8"/>
      <c r="T10" s="8"/>
      <c r="U10" s="8"/>
      <c r="V10" s="8" t="s">
        <v>45</v>
      </c>
      <c r="W10" s="13" t="s">
        <v>805</v>
      </c>
      <c r="X10" s="8" t="s">
        <v>862</v>
      </c>
      <c r="Y10" s="17"/>
      <c r="Z10" s="17"/>
      <c r="AA10" s="17"/>
      <c r="AB10" s="17"/>
      <c r="AC10"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11" spans="1:29" ht="158.4">
      <c r="A11" s="11" t="s">
        <v>55</v>
      </c>
      <c r="B11" s="8" t="s">
        <v>57</v>
      </c>
      <c r="C11" s="8" t="s">
        <v>857</v>
      </c>
      <c r="D11" s="8" t="s">
        <v>58</v>
      </c>
      <c r="E11" s="8"/>
      <c r="F11" s="8"/>
      <c r="G11" s="8" t="s">
        <v>716</v>
      </c>
      <c r="H11" s="8"/>
      <c r="I11" s="8" t="s">
        <v>753</v>
      </c>
      <c r="J11" s="8" t="s">
        <v>23</v>
      </c>
      <c r="K11" s="8"/>
      <c r="L11" s="8"/>
      <c r="M11" s="8"/>
      <c r="N11" s="8"/>
      <c r="O11" s="8"/>
      <c r="P11" s="8"/>
      <c r="Q11" s="8"/>
      <c r="R11" s="8"/>
      <c r="S11" s="8"/>
      <c r="T11" s="8"/>
      <c r="U11" s="8"/>
      <c r="V11" s="8" t="s">
        <v>56</v>
      </c>
      <c r="W11" s="13" t="s">
        <v>806</v>
      </c>
      <c r="X11" s="8" t="s">
        <v>862</v>
      </c>
      <c r="Y11" s="17"/>
      <c r="Z11" s="17"/>
      <c r="AA11" s="17"/>
      <c r="AB11" s="17"/>
      <c r="AC11"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12" spans="1:29" ht="144">
      <c r="A12" s="11" t="s">
        <v>59</v>
      </c>
      <c r="B12" s="8" t="s">
        <v>60</v>
      </c>
      <c r="C12" s="8" t="s">
        <v>858</v>
      </c>
      <c r="D12" s="8" t="s">
        <v>61</v>
      </c>
      <c r="E12" s="8"/>
      <c r="F12" s="8"/>
      <c r="G12" s="8" t="s">
        <v>717</v>
      </c>
      <c r="H12" s="8"/>
      <c r="I12" s="8" t="e">
        <v>#N/A</v>
      </c>
      <c r="J12" s="8" t="s">
        <v>23</v>
      </c>
      <c r="K12" s="8"/>
      <c r="L12" s="8"/>
      <c r="M12" s="8"/>
      <c r="N12" s="8"/>
      <c r="O12" s="8"/>
      <c r="P12" s="8"/>
      <c r="Q12" s="8"/>
      <c r="R12" s="8"/>
      <c r="S12" s="8"/>
      <c r="T12" s="8"/>
      <c r="U12" s="8"/>
      <c r="V12" s="8" t="s">
        <v>41</v>
      </c>
      <c r="W12" s="13" t="s">
        <v>807</v>
      </c>
      <c r="X12" s="8" t="s">
        <v>862</v>
      </c>
      <c r="Y12" s="17"/>
      <c r="Z12" s="17"/>
      <c r="AA12" s="17"/>
      <c r="AB12" s="17"/>
      <c r="AC12"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13" spans="1:29" ht="129.6">
      <c r="A13" s="11" t="s">
        <v>62</v>
      </c>
      <c r="B13" s="8" t="s">
        <v>63</v>
      </c>
      <c r="C13" s="8" t="s">
        <v>859</v>
      </c>
      <c r="D13" s="8" t="s">
        <v>64</v>
      </c>
      <c r="E13" s="8"/>
      <c r="F13" s="8"/>
      <c r="G13" s="8" t="s">
        <v>717</v>
      </c>
      <c r="H13" s="8"/>
      <c r="I13" s="8" t="e">
        <v>#N/A</v>
      </c>
      <c r="J13" s="8" t="s">
        <v>23</v>
      </c>
      <c r="K13" s="8"/>
      <c r="L13" s="8"/>
      <c r="M13" s="8"/>
      <c r="N13" s="8"/>
      <c r="O13" s="8"/>
      <c r="P13" s="8"/>
      <c r="Q13" s="8"/>
      <c r="R13" s="8"/>
      <c r="S13" s="8"/>
      <c r="T13" s="8"/>
      <c r="U13" s="8"/>
      <c r="V13" s="8"/>
      <c r="W13" s="13" t="s">
        <v>807</v>
      </c>
      <c r="X13" s="8" t="s">
        <v>862</v>
      </c>
      <c r="Y13" s="17"/>
      <c r="Z13" s="17"/>
      <c r="AA13" s="17"/>
      <c r="AB13" s="17"/>
      <c r="AC13"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14" spans="1:29" ht="172.8">
      <c r="A14" s="11" t="s">
        <v>65</v>
      </c>
      <c r="B14" s="8" t="s">
        <v>66</v>
      </c>
      <c r="C14" s="8" t="s">
        <v>860</v>
      </c>
      <c r="D14" s="8" t="s">
        <v>67</v>
      </c>
      <c r="E14" s="8"/>
      <c r="F14" s="8"/>
      <c r="G14" s="8" t="s">
        <v>718</v>
      </c>
      <c r="H14" s="8"/>
      <c r="I14" s="8" t="s">
        <v>753</v>
      </c>
      <c r="J14" s="8" t="s">
        <v>23</v>
      </c>
      <c r="K14" s="8"/>
      <c r="L14" s="8"/>
      <c r="M14" s="8"/>
      <c r="N14" s="8"/>
      <c r="O14" s="8"/>
      <c r="P14" s="8"/>
      <c r="Q14" s="8"/>
      <c r="R14" s="8"/>
      <c r="S14" s="8"/>
      <c r="T14" s="8"/>
      <c r="U14" s="8"/>
      <c r="V14" s="8"/>
      <c r="W14" s="13" t="s">
        <v>808</v>
      </c>
      <c r="X14" s="8" t="s">
        <v>925</v>
      </c>
      <c r="Y14" s="17" t="s">
        <v>926</v>
      </c>
      <c r="Z14" s="17"/>
      <c r="AA14" s="17"/>
      <c r="AB14" s="17"/>
      <c r="AC14"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15" spans="1:29" ht="129.6">
      <c r="A15" s="11" t="s">
        <v>68</v>
      </c>
      <c r="B15" s="8" t="s">
        <v>70</v>
      </c>
      <c r="C15" s="8" t="s">
        <v>861</v>
      </c>
      <c r="D15" s="8" t="s">
        <v>71</v>
      </c>
      <c r="E15" s="8"/>
      <c r="F15" s="8"/>
      <c r="G15" s="8" t="s">
        <v>719</v>
      </c>
      <c r="H15" s="8"/>
      <c r="I15" s="8" t="e">
        <v>#N/A</v>
      </c>
      <c r="J15" s="8" t="s">
        <v>23</v>
      </c>
      <c r="K15" s="8"/>
      <c r="L15" s="8"/>
      <c r="M15" s="8"/>
      <c r="N15" s="8"/>
      <c r="O15" s="8"/>
      <c r="P15" s="8"/>
      <c r="Q15" s="8"/>
      <c r="R15" s="8"/>
      <c r="S15" s="8"/>
      <c r="T15" s="8"/>
      <c r="U15" s="8"/>
      <c r="V15" s="8" t="s">
        <v>69</v>
      </c>
      <c r="W15" s="13" t="s">
        <v>809</v>
      </c>
      <c r="X15" s="8" t="s">
        <v>925</v>
      </c>
      <c r="Y15" s="17" t="s">
        <v>926</v>
      </c>
      <c r="Z15" s="17" t="s">
        <v>927</v>
      </c>
      <c r="AA15" s="17"/>
      <c r="AB15" s="17"/>
      <c r="AC15"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16" spans="1:29" ht="129.6">
      <c r="A16" s="11" t="s">
        <v>72</v>
      </c>
      <c r="B16" s="8" t="s">
        <v>73</v>
      </c>
      <c r="C16" s="8" t="s">
        <v>74</v>
      </c>
      <c r="D16" s="8" t="s">
        <v>862</v>
      </c>
      <c r="E16" s="8"/>
      <c r="F16" s="8"/>
      <c r="G16" s="8" t="s">
        <v>717</v>
      </c>
      <c r="H16" s="8"/>
      <c r="I16" s="8" t="e">
        <v>#N/A</v>
      </c>
      <c r="J16" s="8" t="s">
        <v>23</v>
      </c>
      <c r="K16" s="8"/>
      <c r="L16" s="8"/>
      <c r="M16" s="8"/>
      <c r="N16" s="8"/>
      <c r="O16" s="8"/>
      <c r="P16" s="8"/>
      <c r="Q16" s="8"/>
      <c r="R16" s="8"/>
      <c r="S16" s="8"/>
      <c r="T16" s="8"/>
      <c r="U16" s="8"/>
      <c r="V16" s="8" t="s">
        <v>41</v>
      </c>
      <c r="W16" s="13" t="s">
        <v>490</v>
      </c>
      <c r="X16" s="8" t="s">
        <v>925</v>
      </c>
      <c r="Y16" s="17" t="s">
        <v>926</v>
      </c>
      <c r="Z16" s="17" t="s">
        <v>927</v>
      </c>
      <c r="AA16" s="17"/>
      <c r="AB16" s="17"/>
      <c r="AC16"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17" spans="1:29" ht="72">
      <c r="A17" s="11" t="s">
        <v>75</v>
      </c>
      <c r="B17" s="8" t="s">
        <v>77</v>
      </c>
      <c r="C17" s="8" t="s">
        <v>863</v>
      </c>
      <c r="D17" s="8" t="s">
        <v>78</v>
      </c>
      <c r="E17" s="8"/>
      <c r="F17" s="8"/>
      <c r="G17" s="8" t="s">
        <v>720</v>
      </c>
      <c r="H17" s="8"/>
      <c r="I17" s="8" t="e">
        <v>#N/A</v>
      </c>
      <c r="J17" s="8" t="s">
        <v>23</v>
      </c>
      <c r="K17" s="8"/>
      <c r="L17" s="8"/>
      <c r="M17" s="8"/>
      <c r="N17" s="8"/>
      <c r="O17" s="8"/>
      <c r="P17" s="8"/>
      <c r="Q17" s="8"/>
      <c r="R17" s="8"/>
      <c r="S17" s="8"/>
      <c r="T17" s="8"/>
      <c r="U17" s="8"/>
      <c r="V17" s="8" t="s">
        <v>76</v>
      </c>
      <c r="W17" s="13" t="s">
        <v>810</v>
      </c>
      <c r="X17" s="8" t="s">
        <v>862</v>
      </c>
      <c r="Y17" s="17"/>
      <c r="Z17" s="17"/>
      <c r="AA17" s="17"/>
      <c r="AB17" s="17"/>
      <c r="AC17"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18" spans="1:29" ht="201.6">
      <c r="A18" s="11" t="s">
        <v>79</v>
      </c>
      <c r="B18" s="8" t="s">
        <v>81</v>
      </c>
      <c r="C18" s="8" t="s">
        <v>864</v>
      </c>
      <c r="D18" s="8" t="s">
        <v>82</v>
      </c>
      <c r="E18" s="8"/>
      <c r="F18" s="8"/>
      <c r="G18" s="8" t="s">
        <v>721</v>
      </c>
      <c r="H18" s="8"/>
      <c r="I18" s="8" t="s">
        <v>753</v>
      </c>
      <c r="J18" s="8" t="s">
        <v>23</v>
      </c>
      <c r="K18" s="8"/>
      <c r="L18" s="8"/>
      <c r="M18" s="8"/>
      <c r="N18" s="8"/>
      <c r="O18" s="8"/>
      <c r="P18" s="8"/>
      <c r="Q18" s="8"/>
      <c r="R18" s="8"/>
      <c r="S18" s="8"/>
      <c r="T18" s="8"/>
      <c r="U18" s="8"/>
      <c r="V18" s="8" t="s">
        <v>80</v>
      </c>
      <c r="W18" s="13" t="s">
        <v>811</v>
      </c>
      <c r="X18" s="8" t="s">
        <v>925</v>
      </c>
      <c r="Y18" s="17" t="s">
        <v>926</v>
      </c>
      <c r="Z18" s="17" t="s">
        <v>927</v>
      </c>
      <c r="AA18" s="17" t="s">
        <v>928</v>
      </c>
      <c r="AB18" s="17"/>
      <c r="AC18"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19" spans="1:29" ht="201.6">
      <c r="A19" s="11" t="s">
        <v>83</v>
      </c>
      <c r="B19" s="8" t="s">
        <v>84</v>
      </c>
      <c r="C19" s="8" t="s">
        <v>865</v>
      </c>
      <c r="D19" s="8" t="s">
        <v>85</v>
      </c>
      <c r="E19" s="8"/>
      <c r="F19" s="8"/>
      <c r="G19" s="8" t="s">
        <v>721</v>
      </c>
      <c r="H19" s="8"/>
      <c r="I19" s="8" t="e">
        <v>#N/A</v>
      </c>
      <c r="J19" s="8" t="s">
        <v>23</v>
      </c>
      <c r="K19" s="8"/>
      <c r="L19" s="8"/>
      <c r="M19" s="8"/>
      <c r="N19" s="8"/>
      <c r="O19" s="8"/>
      <c r="P19" s="8"/>
      <c r="Q19" s="8"/>
      <c r="R19" s="8"/>
      <c r="S19" s="8"/>
      <c r="T19" s="8"/>
      <c r="U19" s="8"/>
      <c r="V19" s="8" t="s">
        <v>80</v>
      </c>
      <c r="W19" s="13" t="s">
        <v>811</v>
      </c>
      <c r="X19" s="8" t="s">
        <v>862</v>
      </c>
      <c r="Y19" s="17"/>
      <c r="Z19" s="17"/>
      <c r="AA19" s="17"/>
      <c r="AB19" s="17"/>
      <c r="AC19"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20" spans="1:29" ht="259.2">
      <c r="A20" s="11" t="s">
        <v>86</v>
      </c>
      <c r="B20" s="8" t="s">
        <v>87</v>
      </c>
      <c r="C20" s="8" t="s">
        <v>88</v>
      </c>
      <c r="D20" s="8" t="s">
        <v>862</v>
      </c>
      <c r="E20" s="8"/>
      <c r="F20" s="8"/>
      <c r="G20" s="8" t="s">
        <v>714</v>
      </c>
      <c r="H20" s="8"/>
      <c r="I20" s="8" t="s">
        <v>753</v>
      </c>
      <c r="J20" s="8" t="s">
        <v>23</v>
      </c>
      <c r="K20" s="8"/>
      <c r="L20" s="8"/>
      <c r="M20" s="8"/>
      <c r="N20" s="8"/>
      <c r="O20" s="8"/>
      <c r="P20" s="8"/>
      <c r="Q20" s="8"/>
      <c r="R20" s="8"/>
      <c r="S20" s="8"/>
      <c r="T20" s="8"/>
      <c r="U20" s="8"/>
      <c r="V20" s="8"/>
      <c r="W20" s="13" t="s">
        <v>812</v>
      </c>
      <c r="X20" s="8" t="s">
        <v>925</v>
      </c>
      <c r="Y20" s="17" t="s">
        <v>926</v>
      </c>
      <c r="Z20" s="17"/>
      <c r="AA20" s="17"/>
      <c r="AB20" s="17"/>
      <c r="AC20"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21" spans="1:29" ht="129.6">
      <c r="A21" s="11" t="s">
        <v>89</v>
      </c>
      <c r="B21" s="8" t="s">
        <v>90</v>
      </c>
      <c r="C21" s="8" t="s">
        <v>866</v>
      </c>
      <c r="D21" s="8" t="s">
        <v>91</v>
      </c>
      <c r="E21" s="8"/>
      <c r="F21" s="8"/>
      <c r="G21" s="8" t="s">
        <v>717</v>
      </c>
      <c r="H21" s="8"/>
      <c r="I21" s="8" t="s">
        <v>753</v>
      </c>
      <c r="J21" s="8" t="s">
        <v>23</v>
      </c>
      <c r="K21" s="8"/>
      <c r="L21" s="8"/>
      <c r="M21" s="8"/>
      <c r="N21" s="8"/>
      <c r="O21" s="8"/>
      <c r="P21" s="8"/>
      <c r="Q21" s="8"/>
      <c r="R21" s="8"/>
      <c r="S21" s="8"/>
      <c r="T21" s="8"/>
      <c r="U21" s="8"/>
      <c r="V21" s="8"/>
      <c r="W21" s="13" t="s">
        <v>759</v>
      </c>
      <c r="X21" s="8" t="s">
        <v>862</v>
      </c>
      <c r="Y21" s="17"/>
      <c r="Z21" s="17"/>
      <c r="AA21" s="17"/>
      <c r="AB21" s="17"/>
      <c r="AC21"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22" spans="1:29" ht="129.6">
      <c r="A22" s="11" t="s">
        <v>92</v>
      </c>
      <c r="B22" s="8" t="s">
        <v>93</v>
      </c>
      <c r="C22" s="8" t="s">
        <v>94</v>
      </c>
      <c r="D22" s="8" t="s">
        <v>862</v>
      </c>
      <c r="E22" s="8"/>
      <c r="F22" s="8"/>
      <c r="G22" s="8" t="s">
        <v>714</v>
      </c>
      <c r="H22" s="8"/>
      <c r="I22" s="8" t="s">
        <v>755</v>
      </c>
      <c r="J22" s="8" t="s">
        <v>23</v>
      </c>
      <c r="K22" s="8"/>
      <c r="L22" s="8"/>
      <c r="M22" s="8"/>
      <c r="N22" s="8"/>
      <c r="O22" s="8"/>
      <c r="P22" s="8"/>
      <c r="Q22" s="8"/>
      <c r="R22" s="8"/>
      <c r="S22" s="8"/>
      <c r="T22" s="8"/>
      <c r="U22" s="8"/>
      <c r="V22" s="8"/>
      <c r="W22" s="13" t="s">
        <v>760</v>
      </c>
      <c r="X22" s="8" t="s">
        <v>862</v>
      </c>
      <c r="Y22" s="17"/>
      <c r="Z22" s="17"/>
      <c r="AA22" s="17"/>
      <c r="AB22" s="17"/>
      <c r="AC22"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23" spans="1:29" ht="144">
      <c r="A23" s="11" t="s">
        <v>95</v>
      </c>
      <c r="B23" s="8" t="s">
        <v>96</v>
      </c>
      <c r="C23" s="8" t="s">
        <v>867</v>
      </c>
      <c r="D23" s="8" t="s">
        <v>97</v>
      </c>
      <c r="E23" s="8"/>
      <c r="F23" s="8"/>
      <c r="G23" s="8" t="s">
        <v>716</v>
      </c>
      <c r="H23" s="8"/>
      <c r="I23" s="8" t="e">
        <v>#N/A</v>
      </c>
      <c r="J23" s="8" t="s">
        <v>23</v>
      </c>
      <c r="K23" s="8"/>
      <c r="L23" s="8"/>
      <c r="M23" s="8"/>
      <c r="N23" s="8"/>
      <c r="O23" s="8"/>
      <c r="P23" s="8"/>
      <c r="Q23" s="8"/>
      <c r="R23" s="8"/>
      <c r="S23" s="8"/>
      <c r="T23" s="8"/>
      <c r="U23" s="8"/>
      <c r="V23" s="8" t="s">
        <v>56</v>
      </c>
      <c r="W23" s="13" t="s">
        <v>813</v>
      </c>
      <c r="X23" s="8" t="s">
        <v>925</v>
      </c>
      <c r="Y23" s="17" t="s">
        <v>926</v>
      </c>
      <c r="Z23" s="17"/>
      <c r="AA23" s="17" t="s">
        <v>928</v>
      </c>
      <c r="AB23" s="17" t="s">
        <v>929</v>
      </c>
      <c r="AC23"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24" spans="1:29" ht="144">
      <c r="A24" s="11" t="s">
        <v>98</v>
      </c>
      <c r="B24" s="8" t="s">
        <v>99</v>
      </c>
      <c r="C24" s="8" t="s">
        <v>868</v>
      </c>
      <c r="D24" s="8" t="s">
        <v>100</v>
      </c>
      <c r="E24" s="8"/>
      <c r="F24" s="8"/>
      <c r="G24" s="8" t="s">
        <v>718</v>
      </c>
      <c r="H24" s="8"/>
      <c r="I24" s="8" t="s">
        <v>753</v>
      </c>
      <c r="J24" s="8" t="s">
        <v>23</v>
      </c>
      <c r="K24" s="8"/>
      <c r="L24" s="8"/>
      <c r="M24" s="8"/>
      <c r="N24" s="8"/>
      <c r="O24" s="8"/>
      <c r="P24" s="8"/>
      <c r="Q24" s="8"/>
      <c r="R24" s="8"/>
      <c r="S24" s="8"/>
      <c r="T24" s="8"/>
      <c r="U24" s="8"/>
      <c r="V24" s="8" t="s">
        <v>69</v>
      </c>
      <c r="W24" s="13" t="s">
        <v>814</v>
      </c>
      <c r="X24" s="8" t="s">
        <v>925</v>
      </c>
      <c r="Y24" s="17" t="s">
        <v>926</v>
      </c>
      <c r="Z24" s="17"/>
      <c r="AA24" s="17"/>
      <c r="AB24" s="17"/>
      <c r="AC24"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25" spans="1:29" ht="273.60000000000002">
      <c r="A25" s="11" t="s">
        <v>101</v>
      </c>
      <c r="B25" s="8" t="s">
        <v>102</v>
      </c>
      <c r="C25" s="8" t="s">
        <v>869</v>
      </c>
      <c r="D25" s="8" t="s">
        <v>103</v>
      </c>
      <c r="E25" s="8"/>
      <c r="F25" s="8"/>
      <c r="G25" s="8" t="s">
        <v>716</v>
      </c>
      <c r="H25" s="8"/>
      <c r="I25" s="8" t="s">
        <v>753</v>
      </c>
      <c r="J25" s="8" t="s">
        <v>23</v>
      </c>
      <c r="K25" s="8"/>
      <c r="L25" s="8"/>
      <c r="M25" s="8"/>
      <c r="N25" s="8"/>
      <c r="O25" s="8"/>
      <c r="P25" s="8"/>
      <c r="Q25" s="8"/>
      <c r="R25" s="8"/>
      <c r="S25" s="8"/>
      <c r="T25" s="8"/>
      <c r="U25" s="8"/>
      <c r="V25" s="8" t="s">
        <v>25</v>
      </c>
      <c r="W25" s="13" t="s">
        <v>815</v>
      </c>
      <c r="X25" s="8" t="s">
        <v>925</v>
      </c>
      <c r="Y25" s="17" t="s">
        <v>926</v>
      </c>
      <c r="Z25" s="17"/>
      <c r="AA25" s="17"/>
      <c r="AB25" s="17"/>
      <c r="AC25"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26" spans="1:29" ht="72">
      <c r="A26" s="11" t="s">
        <v>104</v>
      </c>
      <c r="B26" s="8" t="s">
        <v>105</v>
      </c>
      <c r="C26" s="8" t="s">
        <v>870</v>
      </c>
      <c r="D26" s="8" t="s">
        <v>106</v>
      </c>
      <c r="E26" s="8"/>
      <c r="F26" s="8"/>
      <c r="G26" s="8" t="s">
        <v>711</v>
      </c>
      <c r="H26" s="8"/>
      <c r="I26" s="8" t="s">
        <v>753</v>
      </c>
      <c r="J26" s="8" t="s">
        <v>23</v>
      </c>
      <c r="K26" s="8"/>
      <c r="L26" s="8"/>
      <c r="M26" s="8"/>
      <c r="N26" s="8"/>
      <c r="O26" s="8"/>
      <c r="P26" s="8"/>
      <c r="Q26" s="8"/>
      <c r="R26" s="8"/>
      <c r="S26" s="8"/>
      <c r="T26" s="8"/>
      <c r="U26" s="8"/>
      <c r="V26" s="8" t="s">
        <v>25</v>
      </c>
      <c r="W26" s="13" t="s">
        <v>816</v>
      </c>
      <c r="X26" s="8" t="s">
        <v>862</v>
      </c>
      <c r="Y26" s="17"/>
      <c r="Z26" s="17"/>
      <c r="AA26" s="17"/>
      <c r="AB26" s="17"/>
      <c r="AC26"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27" spans="1:29" ht="187.2">
      <c r="A27" s="11" t="s">
        <v>107</v>
      </c>
      <c r="B27" s="8" t="s">
        <v>109</v>
      </c>
      <c r="C27" s="8" t="s">
        <v>871</v>
      </c>
      <c r="D27" s="8" t="s">
        <v>110</v>
      </c>
      <c r="E27" s="8"/>
      <c r="F27" s="8"/>
      <c r="G27" s="8" t="s">
        <v>716</v>
      </c>
      <c r="H27" s="8"/>
      <c r="I27" s="8" t="s">
        <v>754</v>
      </c>
      <c r="J27" s="8" t="s">
        <v>23</v>
      </c>
      <c r="K27" s="8"/>
      <c r="L27" s="8"/>
      <c r="M27" s="8"/>
      <c r="N27" s="8"/>
      <c r="O27" s="8"/>
      <c r="P27" s="8"/>
      <c r="Q27" s="8"/>
      <c r="R27" s="8"/>
      <c r="S27" s="8"/>
      <c r="T27" s="8"/>
      <c r="U27" s="8"/>
      <c r="V27" s="8" t="s">
        <v>108</v>
      </c>
      <c r="W27" s="13" t="s">
        <v>817</v>
      </c>
      <c r="X27" s="8" t="s">
        <v>925</v>
      </c>
      <c r="Y27" s="17" t="s">
        <v>926</v>
      </c>
      <c r="Z27" s="17" t="s">
        <v>927</v>
      </c>
      <c r="AA27" s="17"/>
      <c r="AB27" s="17"/>
      <c r="AC27"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28" spans="1:29" ht="144">
      <c r="A28" s="11" t="s">
        <v>111</v>
      </c>
      <c r="B28" s="8" t="s">
        <v>112</v>
      </c>
      <c r="C28" s="8" t="s">
        <v>872</v>
      </c>
      <c r="D28" s="8" t="s">
        <v>113</v>
      </c>
      <c r="E28" s="8"/>
      <c r="F28" s="8"/>
      <c r="G28" s="8" t="s">
        <v>716</v>
      </c>
      <c r="H28" s="8"/>
      <c r="I28" s="8" t="s">
        <v>753</v>
      </c>
      <c r="J28" s="8" t="s">
        <v>23</v>
      </c>
      <c r="K28" s="8"/>
      <c r="L28" s="8"/>
      <c r="M28" s="8"/>
      <c r="N28" s="8"/>
      <c r="O28" s="8"/>
      <c r="P28" s="8"/>
      <c r="Q28" s="8"/>
      <c r="R28" s="8"/>
      <c r="S28" s="8"/>
      <c r="T28" s="8"/>
      <c r="U28" s="8"/>
      <c r="V28" s="8" t="s">
        <v>56</v>
      </c>
      <c r="W28" s="13" t="s">
        <v>818</v>
      </c>
      <c r="X28" s="8" t="s">
        <v>862</v>
      </c>
      <c r="Y28" s="17"/>
      <c r="Z28" s="17"/>
      <c r="AA28" s="17"/>
      <c r="AB28" s="17"/>
      <c r="AC28"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29" spans="1:29" ht="201.6">
      <c r="A29" s="11" t="s">
        <v>114</v>
      </c>
      <c r="B29" s="8" t="s">
        <v>115</v>
      </c>
      <c r="C29" s="8" t="s">
        <v>873</v>
      </c>
      <c r="D29" s="8" t="s">
        <v>116</v>
      </c>
      <c r="E29" s="8"/>
      <c r="F29" s="8"/>
      <c r="G29" s="8" t="s">
        <v>711</v>
      </c>
      <c r="H29" s="8"/>
      <c r="I29" s="8" t="s">
        <v>753</v>
      </c>
      <c r="J29" s="8" t="s">
        <v>23</v>
      </c>
      <c r="K29" s="8"/>
      <c r="L29" s="8"/>
      <c r="M29" s="8"/>
      <c r="N29" s="8"/>
      <c r="O29" s="8"/>
      <c r="P29" s="8"/>
      <c r="Q29" s="8"/>
      <c r="R29" s="8"/>
      <c r="S29" s="8"/>
      <c r="T29" s="8"/>
      <c r="U29" s="8"/>
      <c r="V29" s="8" t="s">
        <v>25</v>
      </c>
      <c r="W29" s="13" t="s">
        <v>819</v>
      </c>
      <c r="X29" s="8" t="s">
        <v>862</v>
      </c>
      <c r="Y29" s="17"/>
      <c r="Z29" s="17"/>
      <c r="AA29" s="17"/>
      <c r="AB29" s="17"/>
      <c r="AC29"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30" spans="1:29" ht="172.8">
      <c r="A30" s="11" t="s">
        <v>117</v>
      </c>
      <c r="B30" s="8" t="s">
        <v>119</v>
      </c>
      <c r="C30" s="8" t="s">
        <v>874</v>
      </c>
      <c r="D30" s="8" t="s">
        <v>120</v>
      </c>
      <c r="E30" s="8"/>
      <c r="F30" s="8"/>
      <c r="G30" s="8" t="s">
        <v>722</v>
      </c>
      <c r="H30" s="8"/>
      <c r="I30" s="8" t="s">
        <v>753</v>
      </c>
      <c r="J30" s="8" t="s">
        <v>23</v>
      </c>
      <c r="K30" s="8"/>
      <c r="L30" s="8"/>
      <c r="M30" s="8"/>
      <c r="N30" s="8"/>
      <c r="O30" s="8"/>
      <c r="P30" s="8"/>
      <c r="Q30" s="8"/>
      <c r="R30" s="8"/>
      <c r="S30" s="8"/>
      <c r="T30" s="8"/>
      <c r="U30" s="8"/>
      <c r="V30" s="8" t="s">
        <v>118</v>
      </c>
      <c r="W30" s="13" t="s">
        <v>820</v>
      </c>
      <c r="X30" s="8" t="s">
        <v>925</v>
      </c>
      <c r="Y30" s="17" t="s">
        <v>926</v>
      </c>
      <c r="Z30" s="17"/>
      <c r="AA30" s="17"/>
      <c r="AB30" s="17"/>
      <c r="AC30"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31" spans="1:29" ht="259.2">
      <c r="A31" s="11" t="s">
        <v>121</v>
      </c>
      <c r="B31" s="8" t="s">
        <v>122</v>
      </c>
      <c r="C31" s="8" t="s">
        <v>875</v>
      </c>
      <c r="D31" s="8" t="s">
        <v>123</v>
      </c>
      <c r="E31" s="8"/>
      <c r="F31" s="8"/>
      <c r="G31" s="8" t="s">
        <v>711</v>
      </c>
      <c r="H31" s="8"/>
      <c r="I31" s="8" t="s">
        <v>753</v>
      </c>
      <c r="J31" s="8" t="s">
        <v>23</v>
      </c>
      <c r="K31" s="8"/>
      <c r="L31" s="8"/>
      <c r="M31" s="8"/>
      <c r="N31" s="8"/>
      <c r="O31" s="8"/>
      <c r="P31" s="8"/>
      <c r="Q31" s="8"/>
      <c r="R31" s="8"/>
      <c r="S31" s="8"/>
      <c r="T31" s="8"/>
      <c r="U31" s="8"/>
      <c r="V31" s="8" t="s">
        <v>56</v>
      </c>
      <c r="W31" s="13" t="s">
        <v>821</v>
      </c>
      <c r="X31" s="8" t="s">
        <v>862</v>
      </c>
      <c r="Y31" s="17"/>
      <c r="Z31" s="17"/>
      <c r="AA31" s="17"/>
      <c r="AB31" s="17"/>
      <c r="AC31"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32" spans="1:29" ht="172.8">
      <c r="A32" s="11" t="s">
        <v>124</v>
      </c>
      <c r="B32" s="8" t="s">
        <v>125</v>
      </c>
      <c r="C32" s="8" t="s">
        <v>126</v>
      </c>
      <c r="D32" s="8" t="s">
        <v>862</v>
      </c>
      <c r="E32" s="8"/>
      <c r="F32" s="8"/>
      <c r="G32" s="8" t="s">
        <v>711</v>
      </c>
      <c r="H32" s="8"/>
      <c r="I32" s="8" t="s">
        <v>753</v>
      </c>
      <c r="J32" s="8" t="s">
        <v>23</v>
      </c>
      <c r="K32" s="8"/>
      <c r="L32" s="8"/>
      <c r="M32" s="8"/>
      <c r="N32" s="8"/>
      <c r="O32" s="8"/>
      <c r="P32" s="8"/>
      <c r="Q32" s="8"/>
      <c r="R32" s="8"/>
      <c r="S32" s="8"/>
      <c r="T32" s="8"/>
      <c r="U32" s="8"/>
      <c r="V32" s="8" t="s">
        <v>56</v>
      </c>
      <c r="W32" s="13" t="s">
        <v>822</v>
      </c>
      <c r="X32" s="8" t="s">
        <v>862</v>
      </c>
      <c r="Y32" s="17"/>
      <c r="Z32" s="17"/>
      <c r="AA32" s="17"/>
      <c r="AB32" s="17"/>
      <c r="AC32"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33" spans="1:29" ht="72">
      <c r="A33" s="11" t="s">
        <v>127</v>
      </c>
      <c r="B33" s="8" t="s">
        <v>129</v>
      </c>
      <c r="C33" s="8" t="s">
        <v>876</v>
      </c>
      <c r="D33" s="8" t="s">
        <v>130</v>
      </c>
      <c r="E33" s="8"/>
      <c r="F33" s="8"/>
      <c r="G33" s="8" t="e">
        <v>#N/A</v>
      </c>
      <c r="H33" s="8"/>
      <c r="I33" s="8" t="s">
        <v>753</v>
      </c>
      <c r="J33" s="8" t="s">
        <v>23</v>
      </c>
      <c r="K33" s="8"/>
      <c r="L33" s="8"/>
      <c r="M33" s="8"/>
      <c r="N33" s="8"/>
      <c r="O33" s="8"/>
      <c r="P33" s="8"/>
      <c r="Q33" s="8"/>
      <c r="R33" s="8"/>
      <c r="S33" s="8"/>
      <c r="T33" s="8"/>
      <c r="U33" s="8"/>
      <c r="V33" s="8" t="s">
        <v>128</v>
      </c>
      <c r="W33" s="13" t="s">
        <v>823</v>
      </c>
      <c r="X33" s="8" t="s">
        <v>925</v>
      </c>
      <c r="Y33" s="17" t="s">
        <v>926</v>
      </c>
      <c r="Z33" s="17" t="s">
        <v>927</v>
      </c>
      <c r="AA33" s="17" t="s">
        <v>928</v>
      </c>
      <c r="AB33" s="17" t="s">
        <v>929</v>
      </c>
      <c r="AC33"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34" spans="1:29" ht="100.8">
      <c r="A34" s="11" t="s">
        <v>131</v>
      </c>
      <c r="B34" s="8" t="s">
        <v>133</v>
      </c>
      <c r="C34" s="8" t="s">
        <v>877</v>
      </c>
      <c r="D34" s="8" t="s">
        <v>134</v>
      </c>
      <c r="E34" s="8"/>
      <c r="F34" s="8"/>
      <c r="G34" s="8" t="e">
        <v>#N/A</v>
      </c>
      <c r="H34" s="8"/>
      <c r="I34" s="8" t="s">
        <v>754</v>
      </c>
      <c r="J34" s="8" t="s">
        <v>23</v>
      </c>
      <c r="K34" s="8"/>
      <c r="L34" s="8"/>
      <c r="M34" s="8"/>
      <c r="N34" s="8"/>
      <c r="O34" s="8"/>
      <c r="P34" s="8"/>
      <c r="Q34" s="8"/>
      <c r="R34" s="8"/>
      <c r="S34" s="8"/>
      <c r="T34" s="8"/>
      <c r="U34" s="8"/>
      <c r="V34" s="8" t="s">
        <v>132</v>
      </c>
      <c r="W34" s="13" t="s">
        <v>824</v>
      </c>
      <c r="X34" s="8" t="s">
        <v>925</v>
      </c>
      <c r="Y34" s="17" t="s">
        <v>926</v>
      </c>
      <c r="Z34" s="17" t="s">
        <v>927</v>
      </c>
      <c r="AA34" s="17" t="s">
        <v>928</v>
      </c>
      <c r="AB34" s="17" t="s">
        <v>929</v>
      </c>
      <c r="AC34"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35" spans="1:29" ht="115.2">
      <c r="A35" s="11" t="s">
        <v>135</v>
      </c>
      <c r="B35" s="8" t="s">
        <v>137</v>
      </c>
      <c r="C35" s="8" t="s">
        <v>878</v>
      </c>
      <c r="D35" s="8" t="s">
        <v>138</v>
      </c>
      <c r="E35" s="8"/>
      <c r="F35" s="8"/>
      <c r="G35" s="8" t="e">
        <v>#N/A</v>
      </c>
      <c r="H35" s="8"/>
      <c r="I35" s="8" t="s">
        <v>753</v>
      </c>
      <c r="J35" s="8" t="s">
        <v>23</v>
      </c>
      <c r="K35" s="8"/>
      <c r="L35" s="8"/>
      <c r="M35" s="8"/>
      <c r="N35" s="8"/>
      <c r="O35" s="8"/>
      <c r="P35" s="8"/>
      <c r="Q35" s="8"/>
      <c r="R35" s="8"/>
      <c r="S35" s="8"/>
      <c r="T35" s="8"/>
      <c r="U35" s="8"/>
      <c r="V35" s="8" t="s">
        <v>136</v>
      </c>
      <c r="W35" s="13" t="s">
        <v>825</v>
      </c>
      <c r="X35" s="8" t="s">
        <v>925</v>
      </c>
      <c r="Y35" s="17" t="s">
        <v>926</v>
      </c>
      <c r="Z35" s="17" t="s">
        <v>927</v>
      </c>
      <c r="AA35" s="17"/>
      <c r="AB35" s="17"/>
      <c r="AC35"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36" spans="1:29" ht="86.4">
      <c r="A36" s="11" t="s">
        <v>139</v>
      </c>
      <c r="B36" s="8" t="s">
        <v>141</v>
      </c>
      <c r="C36" s="8" t="s">
        <v>879</v>
      </c>
      <c r="D36" s="8" t="s">
        <v>142</v>
      </c>
      <c r="E36" s="8"/>
      <c r="F36" s="8"/>
      <c r="G36" s="8" t="e">
        <v>#N/A</v>
      </c>
      <c r="H36" s="8"/>
      <c r="I36" s="8" t="s">
        <v>753</v>
      </c>
      <c r="J36" s="8" t="s">
        <v>23</v>
      </c>
      <c r="K36" s="8"/>
      <c r="L36" s="8"/>
      <c r="M36" s="8"/>
      <c r="N36" s="8"/>
      <c r="O36" s="8"/>
      <c r="P36" s="8"/>
      <c r="Q36" s="8"/>
      <c r="R36" s="8"/>
      <c r="S36" s="8"/>
      <c r="T36" s="8"/>
      <c r="U36" s="8"/>
      <c r="V36" s="8" t="s">
        <v>140</v>
      </c>
      <c r="W36" s="13" t="s">
        <v>826</v>
      </c>
      <c r="X36" s="8" t="s">
        <v>925</v>
      </c>
      <c r="Y36" s="17" t="s">
        <v>926</v>
      </c>
      <c r="Z36" s="17" t="s">
        <v>927</v>
      </c>
      <c r="AA36" s="17"/>
      <c r="AB36" s="17"/>
      <c r="AC36"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37" spans="1:29" ht="100.8">
      <c r="A37" s="11" t="s">
        <v>143</v>
      </c>
      <c r="B37" s="8" t="s">
        <v>145</v>
      </c>
      <c r="C37" s="8" t="s">
        <v>880</v>
      </c>
      <c r="D37" s="8" t="s">
        <v>146</v>
      </c>
      <c r="E37" s="8"/>
      <c r="F37" s="8"/>
      <c r="G37" s="8" t="e">
        <v>#N/A</v>
      </c>
      <c r="H37" s="8"/>
      <c r="I37" s="8" t="e">
        <v>#N/A</v>
      </c>
      <c r="J37" s="8" t="s">
        <v>23</v>
      </c>
      <c r="K37" s="8"/>
      <c r="L37" s="8"/>
      <c r="M37" s="8"/>
      <c r="N37" s="8"/>
      <c r="O37" s="8"/>
      <c r="P37" s="8"/>
      <c r="Q37" s="8"/>
      <c r="R37" s="8"/>
      <c r="S37" s="8"/>
      <c r="T37" s="8"/>
      <c r="U37" s="8"/>
      <c r="V37" s="8" t="s">
        <v>144</v>
      </c>
      <c r="W37" s="13" t="s">
        <v>827</v>
      </c>
      <c r="X37" s="8" t="s">
        <v>925</v>
      </c>
      <c r="Y37" s="17" t="s">
        <v>926</v>
      </c>
      <c r="Z37" s="17" t="s">
        <v>927</v>
      </c>
      <c r="AA37" s="17" t="s">
        <v>928</v>
      </c>
      <c r="AB37" s="17" t="s">
        <v>929</v>
      </c>
      <c r="AC37"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38" spans="1:29" ht="86.4">
      <c r="A38" s="11" t="s">
        <v>147</v>
      </c>
      <c r="B38" s="8" t="s">
        <v>148</v>
      </c>
      <c r="C38" s="8" t="s">
        <v>149</v>
      </c>
      <c r="D38" s="8" t="s">
        <v>862</v>
      </c>
      <c r="E38" s="8"/>
      <c r="F38" s="8"/>
      <c r="G38" s="8" t="e">
        <v>#N/A</v>
      </c>
      <c r="H38" s="8"/>
      <c r="I38" s="8" t="s">
        <v>753</v>
      </c>
      <c r="J38" s="8" t="s">
        <v>23</v>
      </c>
      <c r="K38" s="8"/>
      <c r="L38" s="8"/>
      <c r="M38" s="8"/>
      <c r="N38" s="8"/>
      <c r="O38" s="8"/>
      <c r="P38" s="8"/>
      <c r="Q38" s="8"/>
      <c r="R38" s="8"/>
      <c r="S38" s="8"/>
      <c r="T38" s="8"/>
      <c r="U38" s="8"/>
      <c r="V38" s="8"/>
      <c r="W38" s="13" t="s">
        <v>828</v>
      </c>
      <c r="X38" s="8" t="s">
        <v>862</v>
      </c>
      <c r="Y38" s="17"/>
      <c r="Z38" s="17"/>
      <c r="AA38" s="17"/>
      <c r="AB38" s="17"/>
      <c r="AC38"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39" spans="1:29" ht="158.4">
      <c r="A39" s="11" t="s">
        <v>150</v>
      </c>
      <c r="B39" s="8" t="s">
        <v>152</v>
      </c>
      <c r="C39" s="8" t="s">
        <v>153</v>
      </c>
      <c r="D39" s="8" t="s">
        <v>862</v>
      </c>
      <c r="E39" s="8"/>
      <c r="F39" s="8"/>
      <c r="G39" s="8" t="e">
        <v>#N/A</v>
      </c>
      <c r="H39" s="8"/>
      <c r="I39" s="8" t="s">
        <v>753</v>
      </c>
      <c r="J39" s="8" t="s">
        <v>23</v>
      </c>
      <c r="K39" s="8"/>
      <c r="L39" s="8"/>
      <c r="M39" s="8"/>
      <c r="N39" s="8"/>
      <c r="O39" s="8"/>
      <c r="P39" s="8"/>
      <c r="Q39" s="8"/>
      <c r="R39" s="8"/>
      <c r="S39" s="8"/>
      <c r="T39" s="8"/>
      <c r="U39" s="8"/>
      <c r="V39" s="8" t="s">
        <v>151</v>
      </c>
      <c r="W39" s="13" t="s">
        <v>761</v>
      </c>
      <c r="X39" s="8" t="s">
        <v>925</v>
      </c>
      <c r="Y39" s="17" t="s">
        <v>926</v>
      </c>
      <c r="Z39" s="17" t="s">
        <v>927</v>
      </c>
      <c r="AA39" s="17" t="s">
        <v>928</v>
      </c>
      <c r="AB39" s="17"/>
      <c r="AC39"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40" spans="1:29" ht="115.2">
      <c r="A40" s="11" t="s">
        <v>154</v>
      </c>
      <c r="B40" s="8" t="s">
        <v>156</v>
      </c>
      <c r="C40" s="8" t="s">
        <v>157</v>
      </c>
      <c r="D40" s="8" t="s">
        <v>862</v>
      </c>
      <c r="E40" s="8"/>
      <c r="F40" s="8"/>
      <c r="G40" s="8" t="s">
        <v>723</v>
      </c>
      <c r="H40" s="8"/>
      <c r="I40" s="8" t="s">
        <v>754</v>
      </c>
      <c r="J40" s="8" t="s">
        <v>23</v>
      </c>
      <c r="K40" s="8"/>
      <c r="L40" s="8"/>
      <c r="M40" s="8"/>
      <c r="N40" s="8"/>
      <c r="O40" s="8"/>
      <c r="P40" s="8"/>
      <c r="Q40" s="8"/>
      <c r="R40" s="8"/>
      <c r="S40" s="8"/>
      <c r="T40" s="8"/>
      <c r="U40" s="8"/>
      <c r="V40" s="8" t="s">
        <v>155</v>
      </c>
      <c r="W40" s="13" t="s">
        <v>762</v>
      </c>
      <c r="X40" s="8" t="s">
        <v>925</v>
      </c>
      <c r="Y40" s="17" t="s">
        <v>926</v>
      </c>
      <c r="Z40" s="17" t="s">
        <v>927</v>
      </c>
      <c r="AA40" s="17" t="s">
        <v>928</v>
      </c>
      <c r="AB40" s="17"/>
      <c r="AC40"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41" spans="1:29" ht="187.2">
      <c r="A41" s="11" t="s">
        <v>158</v>
      </c>
      <c r="B41" s="8" t="s">
        <v>160</v>
      </c>
      <c r="C41" s="8" t="s">
        <v>881</v>
      </c>
      <c r="D41" s="8" t="s">
        <v>161</v>
      </c>
      <c r="E41" s="8"/>
      <c r="F41" s="8"/>
      <c r="G41" s="8" t="s">
        <v>723</v>
      </c>
      <c r="H41" s="8"/>
      <c r="I41" s="8" t="s">
        <v>754</v>
      </c>
      <c r="J41" s="8" t="s">
        <v>23</v>
      </c>
      <c r="K41" s="8"/>
      <c r="L41" s="8"/>
      <c r="M41" s="8"/>
      <c r="N41" s="8"/>
      <c r="O41" s="8"/>
      <c r="P41" s="8"/>
      <c r="Q41" s="8"/>
      <c r="R41" s="8"/>
      <c r="S41" s="8"/>
      <c r="T41" s="8"/>
      <c r="U41" s="8"/>
      <c r="V41" s="8" t="s">
        <v>159</v>
      </c>
      <c r="W41" s="13" t="s">
        <v>829</v>
      </c>
      <c r="X41" s="8" t="s">
        <v>925</v>
      </c>
      <c r="Y41" s="17" t="s">
        <v>926</v>
      </c>
      <c r="Z41" s="17" t="s">
        <v>927</v>
      </c>
      <c r="AA41" s="17"/>
      <c r="AB41" s="17"/>
      <c r="AC41"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42" spans="1:29" ht="129.6">
      <c r="A42" s="11" t="s">
        <v>162</v>
      </c>
      <c r="B42" s="8" t="s">
        <v>164</v>
      </c>
      <c r="C42" s="8" t="s">
        <v>882</v>
      </c>
      <c r="D42" s="8" t="s">
        <v>165</v>
      </c>
      <c r="E42" s="8"/>
      <c r="F42" s="8"/>
      <c r="G42" s="8" t="s">
        <v>724</v>
      </c>
      <c r="H42" s="8"/>
      <c r="I42" s="8" t="s">
        <v>754</v>
      </c>
      <c r="J42" s="8" t="s">
        <v>23</v>
      </c>
      <c r="K42" s="8"/>
      <c r="L42" s="8"/>
      <c r="M42" s="8"/>
      <c r="N42" s="8"/>
      <c r="O42" s="8"/>
      <c r="P42" s="8"/>
      <c r="Q42" s="8"/>
      <c r="R42" s="8"/>
      <c r="S42" s="8"/>
      <c r="T42" s="8"/>
      <c r="U42" s="8"/>
      <c r="V42" s="8" t="s">
        <v>163</v>
      </c>
      <c r="W42" s="13" t="s">
        <v>830</v>
      </c>
      <c r="X42" s="8" t="s">
        <v>925</v>
      </c>
      <c r="Y42" s="17" t="s">
        <v>926</v>
      </c>
      <c r="Z42" s="17" t="s">
        <v>927</v>
      </c>
      <c r="AA42" s="17"/>
      <c r="AB42" s="17"/>
      <c r="AC42"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43" spans="1:29" ht="115.2">
      <c r="A43" s="11" t="s">
        <v>166</v>
      </c>
      <c r="B43" s="8" t="s">
        <v>168</v>
      </c>
      <c r="C43" s="8" t="s">
        <v>883</v>
      </c>
      <c r="D43" s="8" t="s">
        <v>169</v>
      </c>
      <c r="E43" s="8"/>
      <c r="F43" s="8"/>
      <c r="G43" s="8" t="s">
        <v>723</v>
      </c>
      <c r="H43" s="8"/>
      <c r="I43" s="8" t="e">
        <v>#N/A</v>
      </c>
      <c r="J43" s="8" t="s">
        <v>23</v>
      </c>
      <c r="K43" s="8"/>
      <c r="L43" s="8"/>
      <c r="M43" s="8"/>
      <c r="N43" s="8"/>
      <c r="O43" s="8"/>
      <c r="P43" s="8"/>
      <c r="Q43" s="8"/>
      <c r="R43" s="8"/>
      <c r="S43" s="8"/>
      <c r="T43" s="8"/>
      <c r="U43" s="8"/>
      <c r="V43" s="8" t="s">
        <v>167</v>
      </c>
      <c r="W43" s="13" t="s">
        <v>831</v>
      </c>
      <c r="X43" s="8" t="s">
        <v>925</v>
      </c>
      <c r="Y43" s="17" t="s">
        <v>926</v>
      </c>
      <c r="Z43" s="17"/>
      <c r="AA43" s="17"/>
      <c r="AB43" s="17"/>
      <c r="AC43"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44" spans="1:29" ht="172.8">
      <c r="A44" s="11" t="s">
        <v>170</v>
      </c>
      <c r="B44" s="8" t="s">
        <v>172</v>
      </c>
      <c r="C44" s="8" t="s">
        <v>884</v>
      </c>
      <c r="D44" s="8" t="s">
        <v>173</v>
      </c>
      <c r="E44" s="8"/>
      <c r="F44" s="8"/>
      <c r="G44" s="8" t="s">
        <v>725</v>
      </c>
      <c r="H44" s="8"/>
      <c r="I44" s="8" t="e">
        <v>#N/A</v>
      </c>
      <c r="J44" s="8" t="s">
        <v>23</v>
      </c>
      <c r="K44" s="8"/>
      <c r="L44" s="8"/>
      <c r="M44" s="8"/>
      <c r="N44" s="8"/>
      <c r="O44" s="8"/>
      <c r="P44" s="8"/>
      <c r="Q44" s="8"/>
      <c r="R44" s="8"/>
      <c r="S44" s="8"/>
      <c r="T44" s="8"/>
      <c r="U44" s="8"/>
      <c r="V44" s="8" t="s">
        <v>171</v>
      </c>
      <c r="W44" s="13" t="s">
        <v>832</v>
      </c>
      <c r="X44" s="8" t="s">
        <v>862</v>
      </c>
      <c r="Y44" s="17"/>
      <c r="Z44" s="17"/>
      <c r="AA44" s="17"/>
      <c r="AB44" s="17"/>
      <c r="AC44"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45" spans="1:29" ht="115.2">
      <c r="A45" s="11" t="s">
        <v>174</v>
      </c>
      <c r="B45" s="8" t="s">
        <v>176</v>
      </c>
      <c r="C45" s="8" t="s">
        <v>885</v>
      </c>
      <c r="D45" s="8" t="s">
        <v>177</v>
      </c>
      <c r="E45" s="8"/>
      <c r="F45" s="8"/>
      <c r="G45" s="8" t="s">
        <v>725</v>
      </c>
      <c r="H45" s="8"/>
      <c r="I45" s="8" t="s">
        <v>754</v>
      </c>
      <c r="J45" s="8" t="s">
        <v>23</v>
      </c>
      <c r="K45" s="8"/>
      <c r="L45" s="8"/>
      <c r="M45" s="8"/>
      <c r="N45" s="8"/>
      <c r="O45" s="8"/>
      <c r="P45" s="8"/>
      <c r="Q45" s="8"/>
      <c r="R45" s="8"/>
      <c r="S45" s="8"/>
      <c r="T45" s="8"/>
      <c r="U45" s="8"/>
      <c r="V45" s="8" t="s">
        <v>175</v>
      </c>
      <c r="W45" s="13" t="s">
        <v>833</v>
      </c>
      <c r="X45" s="8" t="s">
        <v>925</v>
      </c>
      <c r="Y45" s="17" t="s">
        <v>926</v>
      </c>
      <c r="Z45" s="17" t="s">
        <v>927</v>
      </c>
      <c r="AA45" s="17"/>
      <c r="AB45" s="17"/>
      <c r="AC45"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46" spans="1:29" ht="129.6">
      <c r="A46" s="11" t="s">
        <v>178</v>
      </c>
      <c r="B46" s="8" t="s">
        <v>180</v>
      </c>
      <c r="C46" s="8" t="s">
        <v>886</v>
      </c>
      <c r="D46" s="8" t="s">
        <v>181</v>
      </c>
      <c r="E46" s="8"/>
      <c r="F46" s="8"/>
      <c r="G46" s="8" t="s">
        <v>726</v>
      </c>
      <c r="H46" s="8"/>
      <c r="I46" s="8" t="s">
        <v>754</v>
      </c>
      <c r="J46" s="8" t="s">
        <v>23</v>
      </c>
      <c r="K46" s="8"/>
      <c r="L46" s="8"/>
      <c r="M46" s="8"/>
      <c r="N46" s="8"/>
      <c r="O46" s="8"/>
      <c r="P46" s="8"/>
      <c r="Q46" s="8"/>
      <c r="R46" s="8"/>
      <c r="S46" s="8"/>
      <c r="T46" s="8"/>
      <c r="U46" s="8"/>
      <c r="V46" s="8" t="s">
        <v>179</v>
      </c>
      <c r="W46" s="13" t="s">
        <v>834</v>
      </c>
      <c r="X46" s="8" t="s">
        <v>862</v>
      </c>
      <c r="Y46" s="17"/>
      <c r="Z46" s="17"/>
      <c r="AA46" s="17"/>
      <c r="AB46" s="17"/>
      <c r="AC46"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47" spans="1:29" ht="86.4">
      <c r="A47" s="11" t="s">
        <v>182</v>
      </c>
      <c r="B47" s="8" t="s">
        <v>184</v>
      </c>
      <c r="C47" s="8" t="s">
        <v>185</v>
      </c>
      <c r="D47" s="8" t="s">
        <v>862</v>
      </c>
      <c r="E47" s="8"/>
      <c r="F47" s="8"/>
      <c r="G47" s="8" t="s">
        <v>725</v>
      </c>
      <c r="H47" s="8"/>
      <c r="I47" s="8" t="e">
        <v>#N/A</v>
      </c>
      <c r="J47" s="8" t="s">
        <v>23</v>
      </c>
      <c r="K47" s="8"/>
      <c r="L47" s="8"/>
      <c r="M47" s="8"/>
      <c r="N47" s="8"/>
      <c r="O47" s="8"/>
      <c r="P47" s="8"/>
      <c r="Q47" s="8"/>
      <c r="R47" s="8"/>
      <c r="S47" s="8"/>
      <c r="T47" s="8"/>
      <c r="U47" s="8"/>
      <c r="V47" s="8" t="s">
        <v>183</v>
      </c>
      <c r="W47" s="13" t="s">
        <v>605</v>
      </c>
      <c r="X47" s="8" t="s">
        <v>925</v>
      </c>
      <c r="Y47" s="17" t="s">
        <v>926</v>
      </c>
      <c r="Z47" s="17" t="s">
        <v>927</v>
      </c>
      <c r="AA47" s="17"/>
      <c r="AB47" s="17"/>
      <c r="AC47"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48" spans="1:29" ht="115.2">
      <c r="A48" s="11" t="s">
        <v>186</v>
      </c>
      <c r="B48" s="8" t="s">
        <v>188</v>
      </c>
      <c r="C48" s="8" t="s">
        <v>189</v>
      </c>
      <c r="D48" s="8" t="s">
        <v>862</v>
      </c>
      <c r="E48" s="8"/>
      <c r="F48" s="8"/>
      <c r="G48" s="8" t="s">
        <v>415</v>
      </c>
      <c r="H48" s="8"/>
      <c r="I48" s="8" t="s">
        <v>754</v>
      </c>
      <c r="J48" s="8" t="s">
        <v>23</v>
      </c>
      <c r="K48" s="8"/>
      <c r="L48" s="8"/>
      <c r="M48" s="8"/>
      <c r="N48" s="8"/>
      <c r="O48" s="8"/>
      <c r="P48" s="8"/>
      <c r="Q48" s="8"/>
      <c r="R48" s="8"/>
      <c r="S48" s="8"/>
      <c r="T48" s="8"/>
      <c r="U48" s="8"/>
      <c r="V48" s="8" t="s">
        <v>187</v>
      </c>
      <c r="W48" s="13" t="s">
        <v>763</v>
      </c>
      <c r="X48" s="8" t="s">
        <v>925</v>
      </c>
      <c r="Y48" s="17" t="s">
        <v>926</v>
      </c>
      <c r="Z48" s="17"/>
      <c r="AA48" s="17"/>
      <c r="AB48" s="17"/>
      <c r="AC48"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49" spans="1:29" ht="129.6">
      <c r="A49" s="11" t="s">
        <v>190</v>
      </c>
      <c r="B49" s="8" t="s">
        <v>191</v>
      </c>
      <c r="C49" s="8" t="s">
        <v>887</v>
      </c>
      <c r="D49" s="8" t="s">
        <v>192</v>
      </c>
      <c r="E49" s="8"/>
      <c r="F49" s="8"/>
      <c r="G49" s="8" t="s">
        <v>711</v>
      </c>
      <c r="H49" s="8"/>
      <c r="I49" s="8" t="e">
        <v>#N/A</v>
      </c>
      <c r="J49" s="8" t="s">
        <v>23</v>
      </c>
      <c r="K49" s="8"/>
      <c r="L49" s="8"/>
      <c r="M49" s="8"/>
      <c r="N49" s="8"/>
      <c r="O49" s="8"/>
      <c r="P49" s="8"/>
      <c r="Q49" s="8"/>
      <c r="R49" s="8"/>
      <c r="S49" s="8"/>
      <c r="T49" s="8"/>
      <c r="U49" s="8"/>
      <c r="V49" s="8" t="s">
        <v>25</v>
      </c>
      <c r="W49" s="13" t="s">
        <v>631</v>
      </c>
      <c r="X49" s="8" t="s">
        <v>862</v>
      </c>
      <c r="Y49" s="17"/>
      <c r="Z49" s="17"/>
      <c r="AA49" s="17"/>
      <c r="AB49" s="17"/>
      <c r="AC49"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50" spans="1:29" ht="360">
      <c r="A50" s="11" t="s">
        <v>193</v>
      </c>
      <c r="B50" s="8" t="s">
        <v>194</v>
      </c>
      <c r="C50" s="8" t="s">
        <v>195</v>
      </c>
      <c r="D50" s="8" t="s">
        <v>862</v>
      </c>
      <c r="E50" s="8"/>
      <c r="F50" s="8"/>
      <c r="G50" s="8" t="s">
        <v>727</v>
      </c>
      <c r="H50" s="8"/>
      <c r="I50" s="8" t="e">
        <v>#N/A</v>
      </c>
      <c r="J50" s="8" t="s">
        <v>23</v>
      </c>
      <c r="K50" s="8"/>
      <c r="L50" s="8"/>
      <c r="M50" s="8"/>
      <c r="N50" s="8"/>
      <c r="O50" s="8"/>
      <c r="P50" s="8"/>
      <c r="Q50" s="8"/>
      <c r="R50" s="8"/>
      <c r="S50" s="8"/>
      <c r="T50" s="8"/>
      <c r="U50" s="8"/>
      <c r="V50" s="8"/>
      <c r="W50" s="13" t="s">
        <v>835</v>
      </c>
      <c r="X50" s="8" t="s">
        <v>925</v>
      </c>
      <c r="Y50" s="17" t="s">
        <v>926</v>
      </c>
      <c r="Z50" s="17" t="s">
        <v>927</v>
      </c>
      <c r="AA50" s="17"/>
      <c r="AB50" s="17"/>
      <c r="AC50"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51" spans="1:29" ht="388.8">
      <c r="A51" s="11" t="s">
        <v>196</v>
      </c>
      <c r="B51" s="8" t="s">
        <v>197</v>
      </c>
      <c r="C51" s="8" t="s">
        <v>888</v>
      </c>
      <c r="D51" s="8" t="s">
        <v>198</v>
      </c>
      <c r="E51" s="8"/>
      <c r="F51" s="8"/>
      <c r="G51" s="8" t="s">
        <v>728</v>
      </c>
      <c r="H51" s="8"/>
      <c r="I51" s="8" t="e">
        <v>#N/A</v>
      </c>
      <c r="J51" s="8" t="s">
        <v>23</v>
      </c>
      <c r="K51" s="8"/>
      <c r="L51" s="8"/>
      <c r="M51" s="8"/>
      <c r="N51" s="8"/>
      <c r="O51" s="8"/>
      <c r="P51" s="8"/>
      <c r="Q51" s="8"/>
      <c r="R51" s="8"/>
      <c r="S51" s="8"/>
      <c r="T51" s="8"/>
      <c r="U51" s="8"/>
      <c r="V51" s="8" t="s">
        <v>118</v>
      </c>
      <c r="W51" s="13" t="s">
        <v>836</v>
      </c>
      <c r="X51" s="8" t="s">
        <v>862</v>
      </c>
      <c r="Y51" s="17"/>
      <c r="Z51" s="17"/>
      <c r="AA51" s="17"/>
      <c r="AB51" s="17"/>
      <c r="AC51"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52" spans="1:29" ht="374.4">
      <c r="A52" s="11" t="s">
        <v>199</v>
      </c>
      <c r="B52" s="8" t="s">
        <v>201</v>
      </c>
      <c r="C52" s="8" t="s">
        <v>889</v>
      </c>
      <c r="D52" s="8" t="s">
        <v>202</v>
      </c>
      <c r="E52" s="8"/>
      <c r="F52" s="8"/>
      <c r="G52" s="8" t="s">
        <v>729</v>
      </c>
      <c r="H52" s="8"/>
      <c r="I52" s="8" t="e">
        <v>#N/A</v>
      </c>
      <c r="J52" s="8" t="s">
        <v>23</v>
      </c>
      <c r="K52" s="8"/>
      <c r="L52" s="8"/>
      <c r="M52" s="8"/>
      <c r="N52" s="8"/>
      <c r="O52" s="8"/>
      <c r="P52" s="8"/>
      <c r="Q52" s="8"/>
      <c r="R52" s="8"/>
      <c r="S52" s="8"/>
      <c r="T52" s="8"/>
      <c r="U52" s="8"/>
      <c r="V52" s="8" t="s">
        <v>200</v>
      </c>
      <c r="W52" s="13" t="s">
        <v>837</v>
      </c>
      <c r="X52" s="8" t="s">
        <v>862</v>
      </c>
      <c r="Y52" s="17"/>
      <c r="Z52" s="17"/>
      <c r="AA52" s="17"/>
      <c r="AB52" s="17"/>
      <c r="AC52"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53" spans="1:29" ht="374.4">
      <c r="A53" s="11" t="s">
        <v>203</v>
      </c>
      <c r="B53" s="8" t="s">
        <v>205</v>
      </c>
      <c r="C53" s="8" t="s">
        <v>890</v>
      </c>
      <c r="D53" s="8" t="s">
        <v>206</v>
      </c>
      <c r="E53" s="8"/>
      <c r="F53" s="8"/>
      <c r="G53" s="8" t="s">
        <v>730</v>
      </c>
      <c r="H53" s="8"/>
      <c r="I53" s="8" t="s">
        <v>754</v>
      </c>
      <c r="J53" s="8" t="s">
        <v>23</v>
      </c>
      <c r="K53" s="8"/>
      <c r="L53" s="8"/>
      <c r="M53" s="8"/>
      <c r="N53" s="8"/>
      <c r="O53" s="8"/>
      <c r="P53" s="8"/>
      <c r="Q53" s="8"/>
      <c r="R53" s="8"/>
      <c r="S53" s="8"/>
      <c r="T53" s="8"/>
      <c r="U53" s="8"/>
      <c r="V53" s="8" t="s">
        <v>204</v>
      </c>
      <c r="W53" s="13" t="s">
        <v>838</v>
      </c>
      <c r="X53" s="8" t="s">
        <v>925</v>
      </c>
      <c r="Y53" s="17" t="s">
        <v>926</v>
      </c>
      <c r="Z53" s="17" t="s">
        <v>927</v>
      </c>
      <c r="AA53" s="17"/>
      <c r="AB53" s="17"/>
      <c r="AC53"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54" spans="1:29" ht="144">
      <c r="A54" s="11" t="s">
        <v>207</v>
      </c>
      <c r="B54" s="8" t="s">
        <v>209</v>
      </c>
      <c r="C54" s="8" t="s">
        <v>891</v>
      </c>
      <c r="D54" s="8" t="s">
        <v>210</v>
      </c>
      <c r="E54" s="8"/>
      <c r="F54" s="8"/>
      <c r="G54" s="8" t="s">
        <v>731</v>
      </c>
      <c r="H54" s="8"/>
      <c r="I54" s="8" t="e">
        <v>#N/A</v>
      </c>
      <c r="J54" s="8" t="s">
        <v>23</v>
      </c>
      <c r="K54" s="8"/>
      <c r="L54" s="8"/>
      <c r="M54" s="8"/>
      <c r="N54" s="8"/>
      <c r="O54" s="8"/>
      <c r="P54" s="8"/>
      <c r="Q54" s="8"/>
      <c r="R54" s="8"/>
      <c r="S54" s="8"/>
      <c r="T54" s="8"/>
      <c r="U54" s="8"/>
      <c r="V54" s="8" t="s">
        <v>208</v>
      </c>
      <c r="W54" s="13" t="s">
        <v>839</v>
      </c>
      <c r="X54" s="8" t="s">
        <v>925</v>
      </c>
      <c r="Y54" s="17" t="s">
        <v>926</v>
      </c>
      <c r="Z54" s="17" t="s">
        <v>927</v>
      </c>
      <c r="AA54" s="17" t="s">
        <v>928</v>
      </c>
      <c r="AB54" s="17"/>
      <c r="AC54"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55" spans="1:29" ht="100.8">
      <c r="A55" s="11" t="s">
        <v>211</v>
      </c>
      <c r="B55" s="8" t="s">
        <v>213</v>
      </c>
      <c r="C55" s="8" t="s">
        <v>214</v>
      </c>
      <c r="D55" s="8" t="s">
        <v>862</v>
      </c>
      <c r="E55" s="8"/>
      <c r="F55" s="8"/>
      <c r="G55" s="8" t="s">
        <v>732</v>
      </c>
      <c r="H55" s="8"/>
      <c r="I55" s="8" t="e">
        <v>#N/A</v>
      </c>
      <c r="J55" s="8" t="s">
        <v>23</v>
      </c>
      <c r="K55" s="8"/>
      <c r="L55" s="8"/>
      <c r="M55" s="8"/>
      <c r="N55" s="8"/>
      <c r="O55" s="8"/>
      <c r="P55" s="8"/>
      <c r="Q55" s="8"/>
      <c r="R55" s="8"/>
      <c r="S55" s="8"/>
      <c r="T55" s="8"/>
      <c r="U55" s="8"/>
      <c r="V55" s="8" t="s">
        <v>212</v>
      </c>
      <c r="W55" s="13" t="s">
        <v>591</v>
      </c>
      <c r="X55" s="8" t="s">
        <v>862</v>
      </c>
      <c r="Y55" s="17"/>
      <c r="Z55" s="17"/>
      <c r="AA55" s="17"/>
      <c r="AB55" s="17"/>
      <c r="AC55"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56" spans="1:29" ht="100.8">
      <c r="A56" s="11" t="s">
        <v>215</v>
      </c>
      <c r="B56" s="8" t="s">
        <v>217</v>
      </c>
      <c r="C56" s="8" t="s">
        <v>218</v>
      </c>
      <c r="D56" s="8" t="s">
        <v>862</v>
      </c>
      <c r="E56" s="8"/>
      <c r="F56" s="8"/>
      <c r="G56" s="8" t="s">
        <v>410</v>
      </c>
      <c r="H56" s="8"/>
      <c r="I56" s="8" t="s">
        <v>754</v>
      </c>
      <c r="J56" s="8" t="s">
        <v>23</v>
      </c>
      <c r="K56" s="8"/>
      <c r="L56" s="8"/>
      <c r="M56" s="8"/>
      <c r="N56" s="8"/>
      <c r="O56" s="8"/>
      <c r="P56" s="8"/>
      <c r="Q56" s="8"/>
      <c r="R56" s="8"/>
      <c r="S56" s="8"/>
      <c r="T56" s="8"/>
      <c r="U56" s="8"/>
      <c r="V56" s="8" t="s">
        <v>216</v>
      </c>
      <c r="W56" s="13" t="s">
        <v>840</v>
      </c>
      <c r="X56" s="8" t="s">
        <v>925</v>
      </c>
      <c r="Y56" s="17" t="s">
        <v>926</v>
      </c>
      <c r="Z56" s="17" t="s">
        <v>927</v>
      </c>
      <c r="AA56" s="17" t="s">
        <v>928</v>
      </c>
      <c r="AB56" s="17"/>
      <c r="AC56"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57" spans="1:29" ht="100.8">
      <c r="A57" s="11" t="s">
        <v>219</v>
      </c>
      <c r="B57" s="8" t="s">
        <v>220</v>
      </c>
      <c r="C57" s="8" t="s">
        <v>892</v>
      </c>
      <c r="D57" s="8" t="s">
        <v>221</v>
      </c>
      <c r="E57" s="8"/>
      <c r="F57" s="8"/>
      <c r="G57" s="8" t="s">
        <v>732</v>
      </c>
      <c r="H57" s="8"/>
      <c r="I57" s="8" t="e">
        <v>#N/A</v>
      </c>
      <c r="J57" s="8" t="s">
        <v>23</v>
      </c>
      <c r="K57" s="8"/>
      <c r="L57" s="8"/>
      <c r="M57" s="8"/>
      <c r="N57" s="8"/>
      <c r="O57" s="8"/>
      <c r="P57" s="8"/>
      <c r="Q57" s="8"/>
      <c r="R57" s="8"/>
      <c r="S57" s="8"/>
      <c r="T57" s="8"/>
      <c r="U57" s="8"/>
      <c r="V57" s="8"/>
      <c r="W57" s="13" t="s">
        <v>571</v>
      </c>
      <c r="X57" s="8" t="s">
        <v>862</v>
      </c>
      <c r="Y57" s="17"/>
      <c r="Z57" s="17"/>
      <c r="AA57" s="17"/>
      <c r="AB57" s="17"/>
      <c r="AC57"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58" spans="1:29" ht="172.8">
      <c r="A58" s="11" t="s">
        <v>222</v>
      </c>
      <c r="B58" s="8" t="s">
        <v>223</v>
      </c>
      <c r="C58" s="8" t="s">
        <v>224</v>
      </c>
      <c r="D58" s="8" t="s">
        <v>862</v>
      </c>
      <c r="E58" s="8"/>
      <c r="F58" s="8"/>
      <c r="G58" s="8" t="e">
        <v>#N/A</v>
      </c>
      <c r="H58" s="8"/>
      <c r="I58" s="8" t="s">
        <v>754</v>
      </c>
      <c r="J58" s="8" t="s">
        <v>23</v>
      </c>
      <c r="K58" s="8"/>
      <c r="L58" s="8"/>
      <c r="M58" s="8"/>
      <c r="N58" s="8"/>
      <c r="O58" s="8"/>
      <c r="P58" s="8"/>
      <c r="Q58" s="8"/>
      <c r="R58" s="8"/>
      <c r="S58" s="8"/>
      <c r="T58" s="8"/>
      <c r="U58" s="8"/>
      <c r="V58" s="8" t="s">
        <v>208</v>
      </c>
      <c r="W58" s="13" t="s">
        <v>764</v>
      </c>
      <c r="X58" s="8" t="s">
        <v>925</v>
      </c>
      <c r="Y58" s="17" t="s">
        <v>926</v>
      </c>
      <c r="Z58" s="17"/>
      <c r="AA58" s="17" t="s">
        <v>928</v>
      </c>
      <c r="AB58" s="17"/>
      <c r="AC58"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59" spans="1:29" ht="100.8">
      <c r="A59" s="11" t="s">
        <v>225</v>
      </c>
      <c r="B59" s="8" t="s">
        <v>227</v>
      </c>
      <c r="C59" s="8" t="s">
        <v>893</v>
      </c>
      <c r="D59" s="8" t="s">
        <v>228</v>
      </c>
      <c r="E59" s="8"/>
      <c r="F59" s="8"/>
      <c r="G59" s="8" t="s">
        <v>751</v>
      </c>
      <c r="H59" s="8"/>
      <c r="I59" s="8" t="s">
        <v>753</v>
      </c>
      <c r="J59" s="8" t="s">
        <v>23</v>
      </c>
      <c r="K59" s="8"/>
      <c r="L59" s="8"/>
      <c r="M59" s="8"/>
      <c r="N59" s="8"/>
      <c r="O59" s="8"/>
      <c r="P59" s="8"/>
      <c r="Q59" s="8"/>
      <c r="R59" s="8"/>
      <c r="S59" s="8"/>
      <c r="T59" s="8"/>
      <c r="U59" s="8"/>
      <c r="V59" s="8" t="s">
        <v>226</v>
      </c>
      <c r="W59" s="13" t="s">
        <v>765</v>
      </c>
      <c r="X59" s="8" t="s">
        <v>925</v>
      </c>
      <c r="Y59" s="17" t="s">
        <v>926</v>
      </c>
      <c r="Z59" s="17" t="s">
        <v>927</v>
      </c>
      <c r="AA59" s="17" t="s">
        <v>928</v>
      </c>
      <c r="AB59" s="17"/>
      <c r="AC59"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60" spans="1:29" ht="172.8">
      <c r="A60" s="11" t="s">
        <v>229</v>
      </c>
      <c r="B60" s="8" t="s">
        <v>231</v>
      </c>
      <c r="C60" s="8" t="s">
        <v>894</v>
      </c>
      <c r="D60" s="8" t="s">
        <v>232</v>
      </c>
      <c r="E60" s="8"/>
      <c r="F60" s="8"/>
      <c r="G60" s="8" t="s">
        <v>749</v>
      </c>
      <c r="H60" s="8"/>
      <c r="I60" s="8" t="s">
        <v>754</v>
      </c>
      <c r="J60" s="8" t="s">
        <v>23</v>
      </c>
      <c r="K60" s="8"/>
      <c r="L60" s="8"/>
      <c r="M60" s="8"/>
      <c r="N60" s="8"/>
      <c r="O60" s="8"/>
      <c r="P60" s="8"/>
      <c r="Q60" s="8"/>
      <c r="R60" s="8"/>
      <c r="S60" s="8"/>
      <c r="T60" s="8"/>
      <c r="U60" s="8"/>
      <c r="V60" s="8" t="s">
        <v>230</v>
      </c>
      <c r="W60" s="13" t="s">
        <v>841</v>
      </c>
      <c r="X60" s="8" t="s">
        <v>925</v>
      </c>
      <c r="Y60" s="17" t="s">
        <v>926</v>
      </c>
      <c r="Z60" s="17" t="s">
        <v>927</v>
      </c>
      <c r="AA60" s="17" t="s">
        <v>928</v>
      </c>
      <c r="AB60" s="17"/>
      <c r="AC60"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61" spans="1:29" ht="216">
      <c r="A61" s="11" t="s">
        <v>233</v>
      </c>
      <c r="B61" s="8" t="s">
        <v>235</v>
      </c>
      <c r="C61" s="8" t="s">
        <v>895</v>
      </c>
      <c r="D61" s="8" t="s">
        <v>236</v>
      </c>
      <c r="E61" s="8"/>
      <c r="F61" s="8"/>
      <c r="G61" s="8" t="s">
        <v>750</v>
      </c>
      <c r="H61" s="8"/>
      <c r="I61" s="8" t="s">
        <v>754</v>
      </c>
      <c r="J61" s="8" t="s">
        <v>23</v>
      </c>
      <c r="K61" s="8"/>
      <c r="L61" s="8"/>
      <c r="M61" s="8"/>
      <c r="N61" s="8"/>
      <c r="O61" s="8"/>
      <c r="P61" s="8"/>
      <c r="Q61" s="8"/>
      <c r="R61" s="8"/>
      <c r="S61" s="8"/>
      <c r="T61" s="8"/>
      <c r="U61" s="8"/>
      <c r="V61" s="8" t="s">
        <v>234</v>
      </c>
      <c r="W61" s="13" t="s">
        <v>562</v>
      </c>
      <c r="X61" s="8" t="s">
        <v>925</v>
      </c>
      <c r="Y61" s="17" t="s">
        <v>926</v>
      </c>
      <c r="Z61" s="17" t="s">
        <v>927</v>
      </c>
      <c r="AA61" s="17"/>
      <c r="AB61" s="17"/>
      <c r="AC61"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62" spans="1:29" ht="144">
      <c r="A62" s="11" t="s">
        <v>237</v>
      </c>
      <c r="B62" s="8" t="s">
        <v>239</v>
      </c>
      <c r="C62" s="8" t="s">
        <v>896</v>
      </c>
      <c r="D62" s="8" t="s">
        <v>240</v>
      </c>
      <c r="E62" s="8"/>
      <c r="F62" s="8"/>
      <c r="G62" s="8" t="s">
        <v>748</v>
      </c>
      <c r="H62" s="8"/>
      <c r="I62" s="8" t="e">
        <v>#N/A</v>
      </c>
      <c r="J62" s="8" t="s">
        <v>23</v>
      </c>
      <c r="K62" s="8"/>
      <c r="L62" s="8"/>
      <c r="M62" s="8"/>
      <c r="N62" s="8"/>
      <c r="O62" s="8"/>
      <c r="P62" s="8"/>
      <c r="Q62" s="8"/>
      <c r="R62" s="8"/>
      <c r="S62" s="8"/>
      <c r="T62" s="8"/>
      <c r="U62" s="8"/>
      <c r="V62" s="8" t="s">
        <v>238</v>
      </c>
      <c r="W62" s="13" t="s">
        <v>766</v>
      </c>
      <c r="X62" s="8" t="s">
        <v>925</v>
      </c>
      <c r="Y62" s="17" t="s">
        <v>926</v>
      </c>
      <c r="Z62" s="17" t="s">
        <v>927</v>
      </c>
      <c r="AA62" s="17" t="s">
        <v>928</v>
      </c>
      <c r="AB62" s="17"/>
      <c r="AC62"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63" spans="1:29" ht="144">
      <c r="A63" s="11" t="s">
        <v>241</v>
      </c>
      <c r="B63" s="8" t="s">
        <v>243</v>
      </c>
      <c r="C63" s="8" t="s">
        <v>244</v>
      </c>
      <c r="D63" s="8" t="s">
        <v>862</v>
      </c>
      <c r="E63" s="8"/>
      <c r="F63" s="8"/>
      <c r="G63" s="8" t="s">
        <v>748</v>
      </c>
      <c r="H63" s="8"/>
      <c r="I63" s="8" t="e">
        <v>#N/A</v>
      </c>
      <c r="J63" s="8" t="s">
        <v>23</v>
      </c>
      <c r="K63" s="8"/>
      <c r="L63" s="8"/>
      <c r="M63" s="8"/>
      <c r="N63" s="8"/>
      <c r="O63" s="8"/>
      <c r="P63" s="8"/>
      <c r="Q63" s="8"/>
      <c r="R63" s="8"/>
      <c r="S63" s="8"/>
      <c r="T63" s="8"/>
      <c r="U63" s="8"/>
      <c r="V63" s="8" t="s">
        <v>242</v>
      </c>
      <c r="W63" s="13" t="s">
        <v>767</v>
      </c>
      <c r="X63" s="8" t="s">
        <v>925</v>
      </c>
      <c r="Y63" s="17" t="s">
        <v>926</v>
      </c>
      <c r="Z63" s="17"/>
      <c r="AA63" s="17"/>
      <c r="AB63" s="17"/>
      <c r="AC63"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64" spans="1:29" ht="216">
      <c r="A64" s="11" t="s">
        <v>245</v>
      </c>
      <c r="B64" s="8" t="s">
        <v>247</v>
      </c>
      <c r="C64" s="8" t="s">
        <v>248</v>
      </c>
      <c r="D64" s="8" t="s">
        <v>862</v>
      </c>
      <c r="E64" s="8"/>
      <c r="F64" s="8"/>
      <c r="G64" s="8" t="s">
        <v>747</v>
      </c>
      <c r="H64" s="8"/>
      <c r="I64" s="8" t="s">
        <v>755</v>
      </c>
      <c r="J64" s="8" t="s">
        <v>23</v>
      </c>
      <c r="K64" s="8"/>
      <c r="L64" s="8"/>
      <c r="M64" s="8"/>
      <c r="N64" s="8"/>
      <c r="O64" s="8"/>
      <c r="P64" s="8"/>
      <c r="Q64" s="8"/>
      <c r="R64" s="8"/>
      <c r="S64" s="8"/>
      <c r="T64" s="8"/>
      <c r="U64" s="8"/>
      <c r="V64" s="8" t="s">
        <v>246</v>
      </c>
      <c r="W64" s="13" t="s">
        <v>768</v>
      </c>
      <c r="X64" s="8" t="s">
        <v>925</v>
      </c>
      <c r="Y64" s="17" t="s">
        <v>926</v>
      </c>
      <c r="Z64" s="17"/>
      <c r="AA64" s="17"/>
      <c r="AB64" s="17"/>
      <c r="AC64"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65" spans="1:29" ht="72">
      <c r="A65" s="11" t="s">
        <v>249</v>
      </c>
      <c r="B65" s="8" t="s">
        <v>251</v>
      </c>
      <c r="C65" s="8" t="s">
        <v>252</v>
      </c>
      <c r="D65" s="8" t="s">
        <v>862</v>
      </c>
      <c r="E65" s="8"/>
      <c r="F65" s="8"/>
      <c r="G65" s="8" t="s">
        <v>746</v>
      </c>
      <c r="H65" s="8"/>
      <c r="I65" s="8" t="e">
        <v>#N/A</v>
      </c>
      <c r="J65" s="8" t="s">
        <v>23</v>
      </c>
      <c r="K65" s="8"/>
      <c r="L65" s="8"/>
      <c r="M65" s="8"/>
      <c r="N65" s="8"/>
      <c r="O65" s="8"/>
      <c r="P65" s="8"/>
      <c r="Q65" s="8"/>
      <c r="R65" s="8"/>
      <c r="S65" s="8"/>
      <c r="T65" s="8"/>
      <c r="U65" s="8"/>
      <c r="V65" s="8" t="s">
        <v>250</v>
      </c>
      <c r="W65" s="13" t="s">
        <v>842</v>
      </c>
      <c r="X65" s="8" t="s">
        <v>925</v>
      </c>
      <c r="Y65" s="17" t="s">
        <v>926</v>
      </c>
      <c r="Z65" s="17" t="s">
        <v>927</v>
      </c>
      <c r="AA65" s="17" t="s">
        <v>928</v>
      </c>
      <c r="AB65" s="17"/>
      <c r="AC65"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66" spans="1:29" ht="158.4">
      <c r="A66" s="11" t="s">
        <v>253</v>
      </c>
      <c r="B66" s="8" t="s">
        <v>255</v>
      </c>
      <c r="C66" s="8" t="s">
        <v>897</v>
      </c>
      <c r="D66" s="8" t="s">
        <v>256</v>
      </c>
      <c r="E66" s="8"/>
      <c r="F66" s="8"/>
      <c r="G66" s="8" t="s">
        <v>413</v>
      </c>
      <c r="H66" s="8"/>
      <c r="I66" s="8" t="s">
        <v>754</v>
      </c>
      <c r="J66" s="8" t="s">
        <v>23</v>
      </c>
      <c r="K66" s="8"/>
      <c r="L66" s="8"/>
      <c r="M66" s="8"/>
      <c r="N66" s="8"/>
      <c r="O66" s="8"/>
      <c r="P66" s="8"/>
      <c r="Q66" s="8"/>
      <c r="R66" s="8"/>
      <c r="S66" s="8"/>
      <c r="T66" s="8"/>
      <c r="U66" s="8"/>
      <c r="V66" s="8" t="s">
        <v>254</v>
      </c>
      <c r="W66" s="13" t="s">
        <v>769</v>
      </c>
      <c r="X66" s="8" t="s">
        <v>925</v>
      </c>
      <c r="Y66" s="17" t="s">
        <v>926</v>
      </c>
      <c r="Z66" s="17" t="s">
        <v>927</v>
      </c>
      <c r="AA66" s="17"/>
      <c r="AB66" s="17"/>
      <c r="AC66"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67" spans="1:29" ht="100.8">
      <c r="A67" s="11" t="s">
        <v>257</v>
      </c>
      <c r="B67" s="8" t="s">
        <v>259</v>
      </c>
      <c r="C67" s="8" t="s">
        <v>898</v>
      </c>
      <c r="D67" s="8" t="s">
        <v>260</v>
      </c>
      <c r="E67" s="8"/>
      <c r="F67" s="8"/>
      <c r="G67" s="8" t="s">
        <v>409</v>
      </c>
      <c r="H67" s="8"/>
      <c r="I67" s="8" t="s">
        <v>754</v>
      </c>
      <c r="J67" s="8" t="s">
        <v>23</v>
      </c>
      <c r="K67" s="8"/>
      <c r="L67" s="8"/>
      <c r="M67" s="8"/>
      <c r="N67" s="8"/>
      <c r="O67" s="8"/>
      <c r="P67" s="8"/>
      <c r="Q67" s="8"/>
      <c r="R67" s="8"/>
      <c r="S67" s="8"/>
      <c r="T67" s="8"/>
      <c r="U67" s="8"/>
      <c r="V67" s="8" t="s">
        <v>258</v>
      </c>
      <c r="W67" s="13" t="s">
        <v>770</v>
      </c>
      <c r="X67" s="8" t="s">
        <v>862</v>
      </c>
      <c r="Y67" s="17"/>
      <c r="Z67" s="17"/>
      <c r="AA67" s="17"/>
      <c r="AB67" s="17"/>
      <c r="AC67"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68" spans="1:29" ht="86.4">
      <c r="A68" s="11" t="s">
        <v>261</v>
      </c>
      <c r="B68" s="8" t="s">
        <v>263</v>
      </c>
      <c r="C68" s="8" t="s">
        <v>899</v>
      </c>
      <c r="D68" s="8" t="s">
        <v>264</v>
      </c>
      <c r="E68" s="8"/>
      <c r="F68" s="8"/>
      <c r="G68" s="8" t="s">
        <v>745</v>
      </c>
      <c r="H68" s="8"/>
      <c r="I68" s="8" t="s">
        <v>754</v>
      </c>
      <c r="J68" s="8" t="s">
        <v>23</v>
      </c>
      <c r="K68" s="8"/>
      <c r="L68" s="8"/>
      <c r="M68" s="8"/>
      <c r="N68" s="8"/>
      <c r="O68" s="8"/>
      <c r="P68" s="8"/>
      <c r="Q68" s="8"/>
      <c r="R68" s="8"/>
      <c r="S68" s="8"/>
      <c r="T68" s="8"/>
      <c r="U68" s="8"/>
      <c r="V68" s="8" t="s">
        <v>262</v>
      </c>
      <c r="W68" s="13" t="s">
        <v>771</v>
      </c>
      <c r="X68" s="8" t="s">
        <v>862</v>
      </c>
      <c r="Y68" s="17"/>
      <c r="Z68" s="17"/>
      <c r="AA68" s="17"/>
      <c r="AB68" s="17"/>
      <c r="AC68"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69" spans="1:29" ht="72">
      <c r="A69" s="11" t="s">
        <v>265</v>
      </c>
      <c r="B69" s="8" t="s">
        <v>267</v>
      </c>
      <c r="C69" s="8" t="s">
        <v>268</v>
      </c>
      <c r="D69" s="8" t="s">
        <v>862</v>
      </c>
      <c r="E69" s="8"/>
      <c r="F69" s="8"/>
      <c r="G69" s="8" t="s">
        <v>412</v>
      </c>
      <c r="H69" s="8"/>
      <c r="I69" s="8" t="s">
        <v>754</v>
      </c>
      <c r="J69" s="8" t="s">
        <v>23</v>
      </c>
      <c r="K69" s="8"/>
      <c r="L69" s="8"/>
      <c r="M69" s="8"/>
      <c r="N69" s="8"/>
      <c r="O69" s="8"/>
      <c r="P69" s="8"/>
      <c r="Q69" s="8"/>
      <c r="R69" s="8"/>
      <c r="S69" s="8"/>
      <c r="T69" s="8"/>
      <c r="U69" s="8"/>
      <c r="V69" s="8" t="s">
        <v>266</v>
      </c>
      <c r="W69" s="13" t="s">
        <v>843</v>
      </c>
      <c r="X69" s="8" t="s">
        <v>925</v>
      </c>
      <c r="Y69" s="17" t="s">
        <v>926</v>
      </c>
      <c r="Z69" s="17" t="s">
        <v>927</v>
      </c>
      <c r="AA69" s="17" t="s">
        <v>928</v>
      </c>
      <c r="AB69" s="17"/>
      <c r="AC69"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70" spans="1:29" ht="72">
      <c r="A70" s="11" t="s">
        <v>269</v>
      </c>
      <c r="B70" s="8" t="s">
        <v>270</v>
      </c>
      <c r="C70" s="8" t="s">
        <v>900</v>
      </c>
      <c r="D70" s="8" t="s">
        <v>271</v>
      </c>
      <c r="E70" s="8"/>
      <c r="F70" s="8"/>
      <c r="G70" s="8" t="s">
        <v>744</v>
      </c>
      <c r="H70" s="8"/>
      <c r="I70" s="8" t="s">
        <v>754</v>
      </c>
      <c r="J70" s="8" t="s">
        <v>23</v>
      </c>
      <c r="K70" s="8"/>
      <c r="L70" s="8"/>
      <c r="M70" s="8"/>
      <c r="N70" s="8"/>
      <c r="O70" s="8"/>
      <c r="P70" s="8"/>
      <c r="Q70" s="8"/>
      <c r="R70" s="8"/>
      <c r="S70" s="8"/>
      <c r="T70" s="8"/>
      <c r="U70" s="8"/>
      <c r="V70" s="8"/>
      <c r="W70" s="13" t="s">
        <v>772</v>
      </c>
      <c r="X70" s="8" t="s">
        <v>925</v>
      </c>
      <c r="Y70" s="17" t="s">
        <v>926</v>
      </c>
      <c r="Z70" s="17" t="s">
        <v>927</v>
      </c>
      <c r="AA70" s="17" t="s">
        <v>928</v>
      </c>
      <c r="AB70" s="17"/>
      <c r="AC70"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71" spans="1:29" ht="144">
      <c r="A71" s="11" t="s">
        <v>272</v>
      </c>
      <c r="B71" s="8" t="s">
        <v>274</v>
      </c>
      <c r="C71" s="8" t="s">
        <v>275</v>
      </c>
      <c r="D71" s="8" t="s">
        <v>862</v>
      </c>
      <c r="E71" s="8"/>
      <c r="F71" s="8"/>
      <c r="G71" s="8" t="s">
        <v>414</v>
      </c>
      <c r="H71" s="8"/>
      <c r="I71" s="8" t="s">
        <v>754</v>
      </c>
      <c r="J71" s="8" t="s">
        <v>23</v>
      </c>
      <c r="K71" s="8"/>
      <c r="L71" s="8"/>
      <c r="M71" s="8"/>
      <c r="N71" s="8"/>
      <c r="O71" s="8"/>
      <c r="P71" s="8"/>
      <c r="Q71" s="8"/>
      <c r="R71" s="8"/>
      <c r="S71" s="8"/>
      <c r="T71" s="8"/>
      <c r="U71" s="8"/>
      <c r="V71" s="8" t="s">
        <v>273</v>
      </c>
      <c r="W71" s="13" t="s">
        <v>773</v>
      </c>
      <c r="X71" s="8" t="s">
        <v>862</v>
      </c>
      <c r="Y71" s="17"/>
      <c r="Z71" s="17"/>
      <c r="AA71" s="17"/>
      <c r="AB71" s="17"/>
      <c r="AC71"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72" spans="1:29" ht="86.4">
      <c r="A72" s="11" t="s">
        <v>276</v>
      </c>
      <c r="B72" s="8" t="s">
        <v>277</v>
      </c>
      <c r="C72" s="8" t="s">
        <v>278</v>
      </c>
      <c r="D72" s="8" t="s">
        <v>862</v>
      </c>
      <c r="E72" s="8"/>
      <c r="F72" s="8"/>
      <c r="G72" s="8" t="s">
        <v>743</v>
      </c>
      <c r="H72" s="8"/>
      <c r="I72" s="8" t="s">
        <v>754</v>
      </c>
      <c r="J72" s="8" t="s">
        <v>23</v>
      </c>
      <c r="K72" s="8"/>
      <c r="L72" s="8"/>
      <c r="M72" s="8"/>
      <c r="N72" s="8"/>
      <c r="O72" s="8"/>
      <c r="P72" s="8"/>
      <c r="Q72" s="8"/>
      <c r="R72" s="8"/>
      <c r="S72" s="8"/>
      <c r="T72" s="8"/>
      <c r="U72" s="8"/>
      <c r="V72" s="8" t="s">
        <v>216</v>
      </c>
      <c r="W72" s="13" t="s">
        <v>774</v>
      </c>
      <c r="X72" s="8" t="s">
        <v>925</v>
      </c>
      <c r="Y72" s="17" t="s">
        <v>926</v>
      </c>
      <c r="Z72" s="17" t="s">
        <v>927</v>
      </c>
      <c r="AA72" s="17" t="s">
        <v>928</v>
      </c>
      <c r="AB72" s="17"/>
      <c r="AC72"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73" spans="1:29" ht="100.8">
      <c r="A73" s="11" t="s">
        <v>279</v>
      </c>
      <c r="B73" s="8" t="s">
        <v>281</v>
      </c>
      <c r="C73" s="8" t="s">
        <v>282</v>
      </c>
      <c r="D73" s="8" t="s">
        <v>862</v>
      </c>
      <c r="E73" s="8"/>
      <c r="F73" s="8"/>
      <c r="G73" s="8" t="s">
        <v>742</v>
      </c>
      <c r="H73" s="8"/>
      <c r="I73" s="8" t="s">
        <v>754</v>
      </c>
      <c r="J73" s="8" t="s">
        <v>23</v>
      </c>
      <c r="K73" s="8"/>
      <c r="L73" s="8"/>
      <c r="M73" s="8"/>
      <c r="N73" s="8"/>
      <c r="O73" s="8"/>
      <c r="P73" s="8"/>
      <c r="Q73" s="8"/>
      <c r="R73" s="8"/>
      <c r="S73" s="8"/>
      <c r="T73" s="8"/>
      <c r="U73" s="8"/>
      <c r="V73" s="8" t="s">
        <v>280</v>
      </c>
      <c r="W73" s="13" t="s">
        <v>775</v>
      </c>
      <c r="X73" s="8" t="s">
        <v>862</v>
      </c>
      <c r="Y73" s="17"/>
      <c r="Z73" s="17"/>
      <c r="AA73" s="17"/>
      <c r="AB73" s="17"/>
      <c r="AC73"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74" spans="1:29" ht="86.4">
      <c r="A74" s="11" t="s">
        <v>283</v>
      </c>
      <c r="B74" s="8" t="s">
        <v>285</v>
      </c>
      <c r="C74" s="8" t="s">
        <v>286</v>
      </c>
      <c r="D74" s="8" t="s">
        <v>862</v>
      </c>
      <c r="E74" s="8"/>
      <c r="F74" s="8"/>
      <c r="G74" s="8" t="s">
        <v>741</v>
      </c>
      <c r="H74" s="8"/>
      <c r="I74" s="8" t="s">
        <v>754</v>
      </c>
      <c r="J74" s="8" t="s">
        <v>23</v>
      </c>
      <c r="K74" s="8"/>
      <c r="L74" s="8"/>
      <c r="M74" s="8"/>
      <c r="N74" s="8"/>
      <c r="O74" s="8"/>
      <c r="P74" s="8"/>
      <c r="Q74" s="8"/>
      <c r="R74" s="8"/>
      <c r="S74" s="8"/>
      <c r="T74" s="8"/>
      <c r="U74" s="8"/>
      <c r="V74" s="8" t="s">
        <v>284</v>
      </c>
      <c r="W74" s="13" t="s">
        <v>776</v>
      </c>
      <c r="X74" s="8" t="s">
        <v>925</v>
      </c>
      <c r="Y74" s="17" t="s">
        <v>926</v>
      </c>
      <c r="Z74" s="17"/>
      <c r="AA74" s="17"/>
      <c r="AB74" s="17"/>
      <c r="AC74"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75" spans="1:29" ht="72">
      <c r="A75" s="11" t="s">
        <v>287</v>
      </c>
      <c r="B75" s="8" t="s">
        <v>289</v>
      </c>
      <c r="C75" s="8" t="s">
        <v>290</v>
      </c>
      <c r="D75" s="8" t="s">
        <v>862</v>
      </c>
      <c r="E75" s="8"/>
      <c r="F75" s="8"/>
      <c r="G75" s="8" t="s">
        <v>415</v>
      </c>
      <c r="H75" s="8"/>
      <c r="I75" s="8" t="s">
        <v>754</v>
      </c>
      <c r="J75" s="8" t="s">
        <v>23</v>
      </c>
      <c r="K75" s="8"/>
      <c r="L75" s="8"/>
      <c r="M75" s="8"/>
      <c r="N75" s="8"/>
      <c r="O75" s="8"/>
      <c r="P75" s="8"/>
      <c r="Q75" s="8"/>
      <c r="R75" s="8"/>
      <c r="S75" s="8"/>
      <c r="T75" s="8"/>
      <c r="U75" s="8"/>
      <c r="V75" s="8" t="s">
        <v>288</v>
      </c>
      <c r="W75" s="13" t="s">
        <v>844</v>
      </c>
      <c r="X75" s="8" t="s">
        <v>862</v>
      </c>
      <c r="Y75" s="17"/>
      <c r="Z75" s="17"/>
      <c r="AA75" s="17"/>
      <c r="AB75" s="17"/>
      <c r="AC75"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76" spans="1:29" ht="86.4">
      <c r="A76" s="11" t="s">
        <v>291</v>
      </c>
      <c r="B76" s="8" t="s">
        <v>293</v>
      </c>
      <c r="C76" s="8" t="s">
        <v>901</v>
      </c>
      <c r="D76" s="8" t="s">
        <v>294</v>
      </c>
      <c r="E76" s="8"/>
      <c r="F76" s="8"/>
      <c r="G76" s="8" t="s">
        <v>737</v>
      </c>
      <c r="H76" s="8"/>
      <c r="I76" s="8" t="s">
        <v>754</v>
      </c>
      <c r="J76" s="8" t="s">
        <v>23</v>
      </c>
      <c r="K76" s="8"/>
      <c r="L76" s="8"/>
      <c r="M76" s="8"/>
      <c r="N76" s="8"/>
      <c r="O76" s="8"/>
      <c r="P76" s="8"/>
      <c r="Q76" s="8"/>
      <c r="R76" s="8"/>
      <c r="S76" s="8"/>
      <c r="T76" s="8"/>
      <c r="U76" s="8"/>
      <c r="V76" s="8" t="s">
        <v>292</v>
      </c>
      <c r="W76" s="13" t="s">
        <v>777</v>
      </c>
      <c r="X76" s="8" t="s">
        <v>925</v>
      </c>
      <c r="Y76" s="17" t="s">
        <v>926</v>
      </c>
      <c r="Z76" s="17" t="s">
        <v>927</v>
      </c>
      <c r="AA76" s="17" t="s">
        <v>928</v>
      </c>
      <c r="AB76" s="17"/>
      <c r="AC76"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77" spans="1:29" ht="72">
      <c r="A77" s="11" t="s">
        <v>295</v>
      </c>
      <c r="B77" s="8" t="s">
        <v>297</v>
      </c>
      <c r="C77" s="8" t="s">
        <v>298</v>
      </c>
      <c r="D77" s="8" t="s">
        <v>862</v>
      </c>
      <c r="E77" s="8"/>
      <c r="F77" s="8"/>
      <c r="G77" s="8" t="e">
        <v>#N/A</v>
      </c>
      <c r="H77" s="8"/>
      <c r="I77" s="8" t="s">
        <v>754</v>
      </c>
      <c r="J77" s="8" t="s">
        <v>23</v>
      </c>
      <c r="K77" s="8"/>
      <c r="L77" s="8"/>
      <c r="M77" s="8"/>
      <c r="N77" s="8"/>
      <c r="O77" s="8"/>
      <c r="P77" s="8"/>
      <c r="Q77" s="8"/>
      <c r="R77" s="8"/>
      <c r="S77" s="8"/>
      <c r="T77" s="8"/>
      <c r="U77" s="8"/>
      <c r="V77" s="8" t="s">
        <v>296</v>
      </c>
      <c r="W77" s="13" t="s">
        <v>778</v>
      </c>
      <c r="X77" s="8" t="s">
        <v>862</v>
      </c>
      <c r="Y77" s="17"/>
      <c r="Z77" s="17"/>
      <c r="AA77" s="17"/>
      <c r="AB77" s="17"/>
      <c r="AC77"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78" spans="1:29" ht="100.8">
      <c r="A78" s="11" t="s">
        <v>299</v>
      </c>
      <c r="B78" s="8" t="s">
        <v>301</v>
      </c>
      <c r="C78" s="8" t="s">
        <v>902</v>
      </c>
      <c r="D78" s="8" t="s">
        <v>302</v>
      </c>
      <c r="E78" s="8"/>
      <c r="F78" s="8"/>
      <c r="G78" s="8" t="e">
        <v>#N/A</v>
      </c>
      <c r="H78" s="8"/>
      <c r="I78" s="8" t="s">
        <v>754</v>
      </c>
      <c r="J78" s="8" t="s">
        <v>23</v>
      </c>
      <c r="K78" s="8"/>
      <c r="L78" s="8"/>
      <c r="M78" s="8"/>
      <c r="N78" s="8"/>
      <c r="O78" s="8"/>
      <c r="P78" s="8"/>
      <c r="Q78" s="8"/>
      <c r="R78" s="8"/>
      <c r="S78" s="8"/>
      <c r="T78" s="8"/>
      <c r="U78" s="8"/>
      <c r="V78" s="8" t="s">
        <v>300</v>
      </c>
      <c r="W78" s="13" t="s">
        <v>779</v>
      </c>
      <c r="X78" s="8" t="s">
        <v>925</v>
      </c>
      <c r="Y78" s="17" t="s">
        <v>926</v>
      </c>
      <c r="Z78" s="17"/>
      <c r="AA78" s="17"/>
      <c r="AB78" s="17"/>
      <c r="AC78"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79" spans="1:29" ht="100.8">
      <c r="A79" s="11" t="s">
        <v>303</v>
      </c>
      <c r="B79" s="8" t="s">
        <v>305</v>
      </c>
      <c r="C79" s="8" t="s">
        <v>903</v>
      </c>
      <c r="D79" s="8" t="s">
        <v>306</v>
      </c>
      <c r="E79" s="8"/>
      <c r="F79" s="8"/>
      <c r="G79" s="8" t="s">
        <v>723</v>
      </c>
      <c r="H79" s="8"/>
      <c r="I79" s="8" t="s">
        <v>754</v>
      </c>
      <c r="J79" s="8" t="s">
        <v>23</v>
      </c>
      <c r="K79" s="8"/>
      <c r="L79" s="8"/>
      <c r="M79" s="8"/>
      <c r="N79" s="8"/>
      <c r="O79" s="8"/>
      <c r="P79" s="8"/>
      <c r="Q79" s="8"/>
      <c r="R79" s="8"/>
      <c r="S79" s="8"/>
      <c r="T79" s="8"/>
      <c r="U79" s="8"/>
      <c r="V79" s="8" t="s">
        <v>304</v>
      </c>
      <c r="W79" s="13" t="s">
        <v>780</v>
      </c>
      <c r="X79" s="8" t="s">
        <v>925</v>
      </c>
      <c r="Y79" s="17" t="s">
        <v>926</v>
      </c>
      <c r="Z79" s="17"/>
      <c r="AA79" s="17"/>
      <c r="AB79" s="17"/>
      <c r="AC79"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80" spans="1:29" ht="172.8">
      <c r="A80" s="11" t="s">
        <v>307</v>
      </c>
      <c r="B80" s="8" t="s">
        <v>309</v>
      </c>
      <c r="C80" s="8" t="s">
        <v>310</v>
      </c>
      <c r="D80" s="8" t="s">
        <v>862</v>
      </c>
      <c r="E80" s="8"/>
      <c r="F80" s="8"/>
      <c r="G80" s="8" t="s">
        <v>736</v>
      </c>
      <c r="H80" s="8"/>
      <c r="I80" s="8" t="s">
        <v>754</v>
      </c>
      <c r="J80" s="8" t="s">
        <v>23</v>
      </c>
      <c r="K80" s="8"/>
      <c r="L80" s="8"/>
      <c r="M80" s="8"/>
      <c r="N80" s="8"/>
      <c r="O80" s="8"/>
      <c r="P80" s="8"/>
      <c r="Q80" s="8"/>
      <c r="R80" s="8"/>
      <c r="S80" s="8"/>
      <c r="T80" s="8"/>
      <c r="U80" s="8"/>
      <c r="V80" s="8" t="s">
        <v>308</v>
      </c>
      <c r="W80" s="13" t="s">
        <v>781</v>
      </c>
      <c r="X80" s="8" t="s">
        <v>925</v>
      </c>
      <c r="Y80" s="17" t="s">
        <v>926</v>
      </c>
      <c r="Z80" s="17" t="s">
        <v>927</v>
      </c>
      <c r="AA80" s="17"/>
      <c r="AB80" s="17"/>
      <c r="AC80"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81" spans="1:29" ht="86.4">
      <c r="A81" s="11" t="s">
        <v>311</v>
      </c>
      <c r="B81" s="8" t="s">
        <v>313</v>
      </c>
      <c r="C81" s="8" t="s">
        <v>314</v>
      </c>
      <c r="D81" s="8" t="s">
        <v>862</v>
      </c>
      <c r="E81" s="8"/>
      <c r="F81" s="8"/>
      <c r="G81" s="8" t="s">
        <v>740</v>
      </c>
      <c r="H81" s="8"/>
      <c r="I81" s="8" t="s">
        <v>754</v>
      </c>
      <c r="J81" s="8" t="s">
        <v>23</v>
      </c>
      <c r="K81" s="8"/>
      <c r="L81" s="8"/>
      <c r="M81" s="8"/>
      <c r="N81" s="8"/>
      <c r="O81" s="8"/>
      <c r="P81" s="8"/>
      <c r="Q81" s="8"/>
      <c r="R81" s="8"/>
      <c r="S81" s="8"/>
      <c r="T81" s="8"/>
      <c r="U81" s="8"/>
      <c r="V81" s="8" t="s">
        <v>312</v>
      </c>
      <c r="W81" s="13" t="s">
        <v>782</v>
      </c>
      <c r="X81" s="8" t="s">
        <v>925</v>
      </c>
      <c r="Y81" s="17" t="s">
        <v>926</v>
      </c>
      <c r="Z81" s="17" t="s">
        <v>927</v>
      </c>
      <c r="AA81" s="17"/>
      <c r="AB81" s="17"/>
      <c r="AC81"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82" spans="1:29" ht="72">
      <c r="A82" s="11" t="s">
        <v>315</v>
      </c>
      <c r="B82" s="8" t="s">
        <v>317</v>
      </c>
      <c r="C82" s="8" t="s">
        <v>318</v>
      </c>
      <c r="D82" s="8" t="s">
        <v>862</v>
      </c>
      <c r="E82" s="8"/>
      <c r="F82" s="8"/>
      <c r="G82" s="8" t="s">
        <v>723</v>
      </c>
      <c r="H82" s="8"/>
      <c r="I82" s="8" t="s">
        <v>754</v>
      </c>
      <c r="J82" s="8" t="s">
        <v>23</v>
      </c>
      <c r="K82" s="8"/>
      <c r="L82" s="8"/>
      <c r="M82" s="8"/>
      <c r="N82" s="8"/>
      <c r="O82" s="8"/>
      <c r="P82" s="8"/>
      <c r="Q82" s="8"/>
      <c r="R82" s="8"/>
      <c r="S82" s="8"/>
      <c r="T82" s="8"/>
      <c r="U82" s="8"/>
      <c r="V82" s="8" t="s">
        <v>316</v>
      </c>
      <c r="W82" s="13" t="s">
        <v>783</v>
      </c>
      <c r="X82" s="8" t="s">
        <v>862</v>
      </c>
      <c r="Y82" s="17"/>
      <c r="Z82" s="17"/>
      <c r="AA82" s="17"/>
      <c r="AB82" s="17"/>
      <c r="AC82"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83" spans="1:29" ht="72">
      <c r="A83" s="11" t="s">
        <v>319</v>
      </c>
      <c r="B83" s="8" t="s">
        <v>321</v>
      </c>
      <c r="C83" s="8" t="s">
        <v>322</v>
      </c>
      <c r="D83" s="8" t="s">
        <v>862</v>
      </c>
      <c r="E83" s="8"/>
      <c r="F83" s="8"/>
      <c r="G83" s="8" t="s">
        <v>739</v>
      </c>
      <c r="H83" s="8"/>
      <c r="I83" s="8" t="s">
        <v>754</v>
      </c>
      <c r="J83" s="8" t="s">
        <v>23</v>
      </c>
      <c r="K83" s="8"/>
      <c r="L83" s="8"/>
      <c r="M83" s="8"/>
      <c r="N83" s="8"/>
      <c r="O83" s="8"/>
      <c r="P83" s="8"/>
      <c r="Q83" s="8"/>
      <c r="R83" s="8"/>
      <c r="S83" s="8"/>
      <c r="T83" s="8"/>
      <c r="U83" s="8"/>
      <c r="V83" s="8" t="s">
        <v>320</v>
      </c>
      <c r="W83" s="13" t="s">
        <v>784</v>
      </c>
      <c r="X83" s="8" t="s">
        <v>862</v>
      </c>
      <c r="Y83" s="17"/>
      <c r="Z83" s="17"/>
      <c r="AA83" s="17"/>
      <c r="AB83" s="17"/>
      <c r="AC83"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84" spans="1:29" ht="129.6">
      <c r="A84" s="11" t="s">
        <v>323</v>
      </c>
      <c r="B84" s="8" t="s">
        <v>325</v>
      </c>
      <c r="C84" s="8" t="s">
        <v>904</v>
      </c>
      <c r="D84" s="8" t="s">
        <v>326</v>
      </c>
      <c r="E84" s="8"/>
      <c r="F84" s="8"/>
      <c r="G84" s="8" t="s">
        <v>725</v>
      </c>
      <c r="H84" s="8"/>
      <c r="I84" s="8" t="s">
        <v>754</v>
      </c>
      <c r="J84" s="8" t="s">
        <v>23</v>
      </c>
      <c r="K84" s="8"/>
      <c r="L84" s="8"/>
      <c r="M84" s="8"/>
      <c r="N84" s="8"/>
      <c r="O84" s="8"/>
      <c r="P84" s="8"/>
      <c r="Q84" s="8"/>
      <c r="R84" s="8"/>
      <c r="S84" s="8"/>
      <c r="T84" s="8"/>
      <c r="U84" s="8"/>
      <c r="V84" s="8" t="s">
        <v>324</v>
      </c>
      <c r="W84" s="13" t="s">
        <v>785</v>
      </c>
      <c r="X84" s="8" t="s">
        <v>925</v>
      </c>
      <c r="Y84" s="17" t="s">
        <v>926</v>
      </c>
      <c r="Z84" s="17" t="s">
        <v>927</v>
      </c>
      <c r="AA84" s="17" t="s">
        <v>928</v>
      </c>
      <c r="AB84" s="17"/>
      <c r="AC84"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85" spans="1:29" ht="86.4">
      <c r="A85" s="11" t="s">
        <v>327</v>
      </c>
      <c r="B85" s="8" t="s">
        <v>328</v>
      </c>
      <c r="C85" s="8" t="s">
        <v>905</v>
      </c>
      <c r="D85" s="8" t="s">
        <v>329</v>
      </c>
      <c r="E85" s="8"/>
      <c r="F85" s="8"/>
      <c r="G85" s="8" t="s">
        <v>723</v>
      </c>
      <c r="H85" s="8"/>
      <c r="I85" s="8" t="e">
        <v>#N/A</v>
      </c>
      <c r="J85" s="8" t="s">
        <v>23</v>
      </c>
      <c r="K85" s="8"/>
      <c r="L85" s="8"/>
      <c r="M85" s="8"/>
      <c r="N85" s="8"/>
      <c r="O85" s="8"/>
      <c r="P85" s="8"/>
      <c r="Q85" s="8"/>
      <c r="R85" s="8"/>
      <c r="S85" s="8"/>
      <c r="T85" s="8"/>
      <c r="U85" s="8"/>
      <c r="V85" s="8" t="s">
        <v>316</v>
      </c>
      <c r="W85" s="13" t="s">
        <v>845</v>
      </c>
      <c r="X85" s="8" t="s">
        <v>925</v>
      </c>
      <c r="Y85" s="17" t="s">
        <v>926</v>
      </c>
      <c r="Z85" s="17" t="s">
        <v>927</v>
      </c>
      <c r="AA85" s="17"/>
      <c r="AB85" s="17"/>
      <c r="AC85"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86" spans="1:29" ht="115.2">
      <c r="A86" s="11" t="s">
        <v>330</v>
      </c>
      <c r="B86" s="8" t="s">
        <v>332</v>
      </c>
      <c r="C86" s="8" t="s">
        <v>906</v>
      </c>
      <c r="D86" s="8" t="s">
        <v>333</v>
      </c>
      <c r="E86" s="8"/>
      <c r="F86" s="8"/>
      <c r="G86" s="8" t="s">
        <v>738</v>
      </c>
      <c r="H86" s="8"/>
      <c r="I86" s="8" t="s">
        <v>754</v>
      </c>
      <c r="J86" s="8" t="s">
        <v>23</v>
      </c>
      <c r="K86" s="8"/>
      <c r="L86" s="8"/>
      <c r="M86" s="8"/>
      <c r="N86" s="8"/>
      <c r="O86" s="8"/>
      <c r="P86" s="8"/>
      <c r="Q86" s="8"/>
      <c r="R86" s="8"/>
      <c r="S86" s="8"/>
      <c r="T86" s="8"/>
      <c r="U86" s="8"/>
      <c r="V86" s="8" t="s">
        <v>331</v>
      </c>
      <c r="W86" s="13" t="s">
        <v>789</v>
      </c>
      <c r="X86" s="8" t="s">
        <v>862</v>
      </c>
      <c r="Y86" s="17"/>
      <c r="Z86" s="17"/>
      <c r="AA86" s="17"/>
      <c r="AB86" s="17"/>
      <c r="AC86"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87" spans="1:29" ht="144">
      <c r="A87" s="11" t="s">
        <v>334</v>
      </c>
      <c r="B87" s="8" t="s">
        <v>336</v>
      </c>
      <c r="C87" s="8" t="s">
        <v>907</v>
      </c>
      <c r="D87" s="8" t="s">
        <v>337</v>
      </c>
      <c r="E87" s="8"/>
      <c r="F87" s="8"/>
      <c r="G87" s="8" t="s">
        <v>727</v>
      </c>
      <c r="H87" s="8"/>
      <c r="I87" s="8" t="s">
        <v>754</v>
      </c>
      <c r="J87" s="8" t="s">
        <v>23</v>
      </c>
      <c r="K87" s="8"/>
      <c r="L87" s="8"/>
      <c r="M87" s="8"/>
      <c r="N87" s="8"/>
      <c r="O87" s="8"/>
      <c r="P87" s="8"/>
      <c r="Q87" s="8"/>
      <c r="R87" s="8"/>
      <c r="S87" s="8"/>
      <c r="T87" s="8"/>
      <c r="U87" s="8"/>
      <c r="V87" s="8" t="s">
        <v>335</v>
      </c>
      <c r="W87" s="13" t="s">
        <v>786</v>
      </c>
      <c r="X87" s="8" t="s">
        <v>925</v>
      </c>
      <c r="Y87" s="17" t="s">
        <v>926</v>
      </c>
      <c r="Z87" s="17" t="s">
        <v>927</v>
      </c>
      <c r="AA87" s="17" t="s">
        <v>928</v>
      </c>
      <c r="AB87" s="17"/>
      <c r="AC87"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88" spans="1:29" ht="57.6">
      <c r="A88" s="11" t="s">
        <v>338</v>
      </c>
      <c r="B88" s="8" t="s">
        <v>340</v>
      </c>
      <c r="C88" s="8" t="s">
        <v>908</v>
      </c>
      <c r="D88" s="8" t="s">
        <v>341</v>
      </c>
      <c r="E88" s="8"/>
      <c r="F88" s="8"/>
      <c r="G88" s="8" t="s">
        <v>735</v>
      </c>
      <c r="H88" s="8"/>
      <c r="I88" s="8" t="s">
        <v>754</v>
      </c>
      <c r="J88" s="8" t="s">
        <v>23</v>
      </c>
      <c r="K88" s="8"/>
      <c r="L88" s="8"/>
      <c r="M88" s="8"/>
      <c r="N88" s="8"/>
      <c r="O88" s="8"/>
      <c r="P88" s="8"/>
      <c r="Q88" s="8"/>
      <c r="R88" s="8"/>
      <c r="S88" s="8"/>
      <c r="T88" s="8"/>
      <c r="U88" s="8"/>
      <c r="V88" s="8" t="s">
        <v>339</v>
      </c>
      <c r="W88" s="13" t="s">
        <v>787</v>
      </c>
      <c r="X88" s="8" t="s">
        <v>862</v>
      </c>
      <c r="Y88" s="17"/>
      <c r="Z88" s="17"/>
      <c r="AA88" s="17"/>
      <c r="AB88" s="17"/>
      <c r="AC88"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89" spans="1:29" ht="57.6">
      <c r="A89" s="11" t="s">
        <v>342</v>
      </c>
      <c r="B89" s="8" t="s">
        <v>344</v>
      </c>
      <c r="C89" s="8" t="s">
        <v>909</v>
      </c>
      <c r="D89" s="8" t="s">
        <v>345</v>
      </c>
      <c r="E89" s="8"/>
      <c r="F89" s="8"/>
      <c r="G89" s="8" t="s">
        <v>735</v>
      </c>
      <c r="H89" s="8"/>
      <c r="I89" s="8" t="s">
        <v>754</v>
      </c>
      <c r="J89" s="8" t="s">
        <v>23</v>
      </c>
      <c r="K89" s="8"/>
      <c r="L89" s="8"/>
      <c r="M89" s="8"/>
      <c r="N89" s="8"/>
      <c r="O89" s="8"/>
      <c r="P89" s="8"/>
      <c r="Q89" s="8"/>
      <c r="R89" s="8"/>
      <c r="S89" s="8"/>
      <c r="T89" s="8"/>
      <c r="U89" s="8"/>
      <c r="V89" s="8" t="s">
        <v>343</v>
      </c>
      <c r="W89" s="13" t="s">
        <v>787</v>
      </c>
      <c r="X89" s="8" t="s">
        <v>925</v>
      </c>
      <c r="Y89" s="17" t="s">
        <v>926</v>
      </c>
      <c r="Z89" s="17"/>
      <c r="AA89" s="17"/>
      <c r="AB89" s="17"/>
      <c r="AC89"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90" spans="1:29" ht="86.4">
      <c r="A90" s="11" t="s">
        <v>346</v>
      </c>
      <c r="B90" s="8" t="s">
        <v>348</v>
      </c>
      <c r="C90" s="8" t="s">
        <v>910</v>
      </c>
      <c r="D90" s="8" t="s">
        <v>349</v>
      </c>
      <c r="E90" s="8"/>
      <c r="F90" s="8"/>
      <c r="G90" s="8" t="s">
        <v>727</v>
      </c>
      <c r="H90" s="8"/>
      <c r="I90" s="8" t="s">
        <v>754</v>
      </c>
      <c r="J90" s="8" t="s">
        <v>23</v>
      </c>
      <c r="K90" s="8"/>
      <c r="L90" s="8"/>
      <c r="M90" s="8"/>
      <c r="N90" s="8"/>
      <c r="O90" s="8"/>
      <c r="P90" s="8"/>
      <c r="Q90" s="8"/>
      <c r="R90" s="8"/>
      <c r="S90" s="8"/>
      <c r="T90" s="8"/>
      <c r="U90" s="8"/>
      <c r="V90" s="8" t="s">
        <v>347</v>
      </c>
      <c r="W90" s="13" t="s">
        <v>788</v>
      </c>
      <c r="X90" s="8" t="s">
        <v>862</v>
      </c>
      <c r="Y90" s="17"/>
      <c r="Z90" s="17"/>
      <c r="AA90" s="17"/>
      <c r="AB90" s="17"/>
      <c r="AC90"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91" spans="1:29" ht="72">
      <c r="A91" s="11" t="s">
        <v>350</v>
      </c>
      <c r="B91" s="8" t="s">
        <v>351</v>
      </c>
      <c r="C91" s="8" t="s">
        <v>911</v>
      </c>
      <c r="D91" s="8" t="s">
        <v>352</v>
      </c>
      <c r="E91" s="8"/>
      <c r="F91" s="8"/>
      <c r="G91" s="8" t="s">
        <v>727</v>
      </c>
      <c r="H91" s="8"/>
      <c r="I91" s="8" t="s">
        <v>754</v>
      </c>
      <c r="J91" s="8" t="s">
        <v>23</v>
      </c>
      <c r="K91" s="8"/>
      <c r="L91" s="8"/>
      <c r="M91" s="8"/>
      <c r="N91" s="8"/>
      <c r="O91" s="8"/>
      <c r="P91" s="8"/>
      <c r="Q91" s="8"/>
      <c r="R91" s="8"/>
      <c r="S91" s="8"/>
      <c r="T91" s="8"/>
      <c r="U91" s="8"/>
      <c r="V91" s="8"/>
      <c r="W91" s="13" t="s">
        <v>789</v>
      </c>
      <c r="X91" s="8" t="s">
        <v>862</v>
      </c>
      <c r="Y91" s="17"/>
      <c r="Z91" s="17"/>
      <c r="AA91" s="17"/>
      <c r="AB91" s="17"/>
      <c r="AC91"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92" spans="1:29" ht="100.8">
      <c r="A92" s="11" t="s">
        <v>353</v>
      </c>
      <c r="B92" s="8" t="s">
        <v>355</v>
      </c>
      <c r="C92" s="8" t="s">
        <v>912</v>
      </c>
      <c r="D92" s="8" t="s">
        <v>356</v>
      </c>
      <c r="E92" s="8"/>
      <c r="F92" s="8"/>
      <c r="G92" s="8" t="s">
        <v>729</v>
      </c>
      <c r="H92" s="8"/>
      <c r="I92" s="8" t="s">
        <v>754</v>
      </c>
      <c r="J92" s="8" t="s">
        <v>23</v>
      </c>
      <c r="K92" s="8"/>
      <c r="L92" s="8"/>
      <c r="M92" s="8"/>
      <c r="N92" s="8"/>
      <c r="O92" s="8"/>
      <c r="P92" s="8"/>
      <c r="Q92" s="8"/>
      <c r="R92" s="8"/>
      <c r="S92" s="8"/>
      <c r="T92" s="8"/>
      <c r="U92" s="8"/>
      <c r="V92" s="8" t="s">
        <v>354</v>
      </c>
      <c r="W92" s="13" t="s">
        <v>790</v>
      </c>
      <c r="X92" s="8" t="s">
        <v>925</v>
      </c>
      <c r="Y92" s="17" t="s">
        <v>926</v>
      </c>
      <c r="Z92" s="17" t="s">
        <v>927</v>
      </c>
      <c r="AA92" s="17"/>
      <c r="AB92" s="17"/>
      <c r="AC92"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93" spans="1:29" ht="115.2">
      <c r="A93" s="11" t="s">
        <v>357</v>
      </c>
      <c r="B93" s="8" t="s">
        <v>358</v>
      </c>
      <c r="C93" s="8" t="s">
        <v>913</v>
      </c>
      <c r="D93" s="8" t="s">
        <v>359</v>
      </c>
      <c r="E93" s="8"/>
      <c r="F93" s="8"/>
      <c r="G93" s="8" t="s">
        <v>729</v>
      </c>
      <c r="H93" s="8"/>
      <c r="I93" s="8" t="s">
        <v>755</v>
      </c>
      <c r="J93" s="8" t="s">
        <v>23</v>
      </c>
      <c r="K93" s="8"/>
      <c r="L93" s="8"/>
      <c r="M93" s="8"/>
      <c r="N93" s="8"/>
      <c r="O93" s="8"/>
      <c r="P93" s="8"/>
      <c r="Q93" s="8"/>
      <c r="R93" s="8"/>
      <c r="S93" s="8"/>
      <c r="T93" s="8"/>
      <c r="U93" s="8"/>
      <c r="V93" s="8" t="s">
        <v>354</v>
      </c>
      <c r="W93" s="13" t="s">
        <v>791</v>
      </c>
      <c r="X93" s="8" t="s">
        <v>925</v>
      </c>
      <c r="Y93" s="17" t="s">
        <v>926</v>
      </c>
      <c r="Z93" s="17"/>
      <c r="AA93" s="17"/>
      <c r="AB93" s="17"/>
      <c r="AC93"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94" spans="1:29" ht="86.4">
      <c r="A94" s="11" t="s">
        <v>360</v>
      </c>
      <c r="B94" s="8" t="s">
        <v>361</v>
      </c>
      <c r="C94" s="8" t="s">
        <v>914</v>
      </c>
      <c r="D94" s="8" t="s">
        <v>362</v>
      </c>
      <c r="E94" s="8"/>
      <c r="F94" s="8"/>
      <c r="G94" s="8" t="s">
        <v>729</v>
      </c>
      <c r="H94" s="8"/>
      <c r="I94" s="8" t="s">
        <v>755</v>
      </c>
      <c r="J94" s="8" t="s">
        <v>23</v>
      </c>
      <c r="K94" s="8"/>
      <c r="L94" s="8"/>
      <c r="M94" s="8"/>
      <c r="N94" s="8"/>
      <c r="O94" s="8"/>
      <c r="P94" s="8"/>
      <c r="Q94" s="8"/>
      <c r="R94" s="8"/>
      <c r="S94" s="8"/>
      <c r="T94" s="8"/>
      <c r="U94" s="8"/>
      <c r="V94" s="8"/>
      <c r="W94" s="13" t="s">
        <v>791</v>
      </c>
      <c r="X94" s="8" t="s">
        <v>925</v>
      </c>
      <c r="Y94" s="17" t="s">
        <v>926</v>
      </c>
      <c r="Z94" s="17" t="s">
        <v>927</v>
      </c>
      <c r="AA94" s="17"/>
      <c r="AB94" s="17"/>
      <c r="AC94"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95" spans="1:29" ht="86.4">
      <c r="A95" s="11" t="s">
        <v>363</v>
      </c>
      <c r="B95" s="8" t="s">
        <v>364</v>
      </c>
      <c r="C95" s="8" t="s">
        <v>915</v>
      </c>
      <c r="D95" s="8" t="s">
        <v>365</v>
      </c>
      <c r="E95" s="8"/>
      <c r="F95" s="8"/>
      <c r="G95" s="8" t="s">
        <v>729</v>
      </c>
      <c r="H95" s="8"/>
      <c r="I95" s="8" t="s">
        <v>755</v>
      </c>
      <c r="J95" s="8" t="s">
        <v>23</v>
      </c>
      <c r="K95" s="8"/>
      <c r="L95" s="8"/>
      <c r="M95" s="8"/>
      <c r="N95" s="8"/>
      <c r="O95" s="8"/>
      <c r="P95" s="8"/>
      <c r="Q95" s="8"/>
      <c r="R95" s="8"/>
      <c r="S95" s="8"/>
      <c r="T95" s="8"/>
      <c r="U95" s="8"/>
      <c r="V95" s="8"/>
      <c r="W95" s="13" t="s">
        <v>792</v>
      </c>
      <c r="X95" s="8" t="s">
        <v>862</v>
      </c>
      <c r="Y95" s="17"/>
      <c r="Z95" s="17"/>
      <c r="AA95" s="17"/>
      <c r="AB95" s="17"/>
      <c r="AC95"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96" spans="1:29" ht="100.8">
      <c r="A96" s="11" t="s">
        <v>366</v>
      </c>
      <c r="B96" s="8" t="s">
        <v>368</v>
      </c>
      <c r="C96" s="8" t="s">
        <v>916</v>
      </c>
      <c r="D96" s="8" t="s">
        <v>369</v>
      </c>
      <c r="E96" s="8"/>
      <c r="F96" s="8"/>
      <c r="G96" s="8" t="s">
        <v>729</v>
      </c>
      <c r="H96" s="8"/>
      <c r="I96" s="8" t="s">
        <v>755</v>
      </c>
      <c r="J96" s="8" t="s">
        <v>23</v>
      </c>
      <c r="K96" s="8"/>
      <c r="L96" s="8"/>
      <c r="M96" s="8"/>
      <c r="N96" s="8"/>
      <c r="O96" s="8"/>
      <c r="P96" s="8"/>
      <c r="Q96" s="8"/>
      <c r="R96" s="8"/>
      <c r="S96" s="8"/>
      <c r="T96" s="8"/>
      <c r="U96" s="8"/>
      <c r="V96" s="8" t="s">
        <v>367</v>
      </c>
      <c r="W96" s="13" t="s">
        <v>793</v>
      </c>
      <c r="X96" s="8" t="s">
        <v>925</v>
      </c>
      <c r="Y96" s="17" t="s">
        <v>926</v>
      </c>
      <c r="Z96" s="17" t="s">
        <v>927</v>
      </c>
      <c r="AA96" s="17" t="s">
        <v>928</v>
      </c>
      <c r="AB96" s="17"/>
      <c r="AC96"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97" spans="1:29" ht="72">
      <c r="A97" s="11" t="s">
        <v>370</v>
      </c>
      <c r="B97" s="8" t="s">
        <v>372</v>
      </c>
      <c r="C97" s="8" t="s">
        <v>373</v>
      </c>
      <c r="D97" s="8" t="s">
        <v>862</v>
      </c>
      <c r="E97" s="8"/>
      <c r="F97" s="8"/>
      <c r="G97" s="8" t="s">
        <v>729</v>
      </c>
      <c r="H97" s="8"/>
      <c r="I97" s="8" t="s">
        <v>755</v>
      </c>
      <c r="J97" s="8" t="s">
        <v>23</v>
      </c>
      <c r="K97" s="8"/>
      <c r="L97" s="8"/>
      <c r="M97" s="8"/>
      <c r="N97" s="8"/>
      <c r="O97" s="8"/>
      <c r="P97" s="8"/>
      <c r="Q97" s="8"/>
      <c r="R97" s="8"/>
      <c r="S97" s="8"/>
      <c r="T97" s="8"/>
      <c r="U97" s="8"/>
      <c r="V97" s="8" t="s">
        <v>371</v>
      </c>
      <c r="W97" s="13" t="s">
        <v>793</v>
      </c>
      <c r="X97" s="8" t="s">
        <v>925</v>
      </c>
      <c r="Y97" s="17" t="s">
        <v>926</v>
      </c>
      <c r="Z97" s="17"/>
      <c r="AA97" s="17"/>
      <c r="AB97" s="17"/>
      <c r="AC97"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98" spans="1:29" ht="72">
      <c r="A98" s="11" t="s">
        <v>374</v>
      </c>
      <c r="B98" s="8" t="s">
        <v>376</v>
      </c>
      <c r="C98" s="8" t="s">
        <v>917</v>
      </c>
      <c r="D98" s="8" t="s">
        <v>377</v>
      </c>
      <c r="E98" s="8"/>
      <c r="F98" s="8"/>
      <c r="G98" s="8" t="s">
        <v>734</v>
      </c>
      <c r="H98" s="8"/>
      <c r="I98" s="8" t="s">
        <v>755</v>
      </c>
      <c r="J98" s="8" t="s">
        <v>23</v>
      </c>
      <c r="K98" s="8"/>
      <c r="L98" s="8"/>
      <c r="M98" s="8"/>
      <c r="N98" s="8"/>
      <c r="O98" s="8"/>
      <c r="P98" s="8"/>
      <c r="Q98" s="8"/>
      <c r="R98" s="8"/>
      <c r="S98" s="8"/>
      <c r="T98" s="8"/>
      <c r="U98" s="8"/>
      <c r="V98" s="8" t="s">
        <v>375</v>
      </c>
      <c r="W98" s="13" t="s">
        <v>416</v>
      </c>
      <c r="X98" s="8" t="s">
        <v>925</v>
      </c>
      <c r="Y98" s="17" t="s">
        <v>926</v>
      </c>
      <c r="Z98" s="17"/>
      <c r="AA98" s="17"/>
      <c r="AB98" s="17"/>
      <c r="AC98"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99" spans="1:29" ht="72">
      <c r="A99" s="11" t="s">
        <v>378</v>
      </c>
      <c r="B99" s="8" t="s">
        <v>380</v>
      </c>
      <c r="C99" s="8" t="s">
        <v>918</v>
      </c>
      <c r="D99" s="8" t="s">
        <v>381</v>
      </c>
      <c r="E99" s="8"/>
      <c r="F99" s="8"/>
      <c r="G99" s="8" t="s">
        <v>734</v>
      </c>
      <c r="H99" s="8"/>
      <c r="I99" s="8" t="e">
        <v>#N/A</v>
      </c>
      <c r="J99" s="8" t="s">
        <v>23</v>
      </c>
      <c r="K99" s="8"/>
      <c r="L99" s="8"/>
      <c r="M99" s="8"/>
      <c r="N99" s="8"/>
      <c r="O99" s="8"/>
      <c r="P99" s="8"/>
      <c r="Q99" s="8"/>
      <c r="R99" s="8"/>
      <c r="S99" s="8"/>
      <c r="T99" s="8"/>
      <c r="U99" s="8"/>
      <c r="V99" s="8" t="s">
        <v>379</v>
      </c>
      <c r="W99" s="13" t="s">
        <v>416</v>
      </c>
      <c r="X99" s="8" t="s">
        <v>925</v>
      </c>
      <c r="Y99" s="17" t="s">
        <v>926</v>
      </c>
      <c r="Z99" s="17" t="s">
        <v>927</v>
      </c>
      <c r="AA99" s="17"/>
      <c r="AB99" s="17"/>
      <c r="AC99"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100" spans="1:29" ht="187.2">
      <c r="A100" s="11" t="s">
        <v>382</v>
      </c>
      <c r="B100" s="8" t="s">
        <v>384</v>
      </c>
      <c r="C100" s="8" t="s">
        <v>919</v>
      </c>
      <c r="D100" s="8" t="s">
        <v>385</v>
      </c>
      <c r="E100" s="8"/>
      <c r="F100" s="8"/>
      <c r="G100" s="8" t="s">
        <v>729</v>
      </c>
      <c r="H100" s="8"/>
      <c r="I100" s="8" t="e">
        <v>#N/A</v>
      </c>
      <c r="J100" s="8" t="s">
        <v>23</v>
      </c>
      <c r="K100" s="8"/>
      <c r="L100" s="8"/>
      <c r="M100" s="8"/>
      <c r="N100" s="8"/>
      <c r="O100" s="8"/>
      <c r="P100" s="8"/>
      <c r="Q100" s="8"/>
      <c r="R100" s="8"/>
      <c r="S100" s="8"/>
      <c r="T100" s="8"/>
      <c r="U100" s="8"/>
      <c r="V100" s="8" t="s">
        <v>383</v>
      </c>
      <c r="W100" s="13" t="s">
        <v>794</v>
      </c>
      <c r="X100" s="8" t="s">
        <v>925</v>
      </c>
      <c r="Y100" s="17" t="s">
        <v>926</v>
      </c>
      <c r="Z100" s="17" t="s">
        <v>927</v>
      </c>
      <c r="AA100" s="17" t="s">
        <v>928</v>
      </c>
      <c r="AB100" s="17"/>
      <c r="AC100"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101" spans="1:29" ht="72">
      <c r="A101" s="11" t="s">
        <v>386</v>
      </c>
      <c r="B101" s="8" t="s">
        <v>387</v>
      </c>
      <c r="C101" s="8" t="s">
        <v>920</v>
      </c>
      <c r="D101" s="8" t="s">
        <v>388</v>
      </c>
      <c r="E101" s="8"/>
      <c r="F101" s="8"/>
      <c r="G101" s="8" t="s">
        <v>729</v>
      </c>
      <c r="H101" s="8"/>
      <c r="I101" s="8" t="e">
        <v>#N/A</v>
      </c>
      <c r="J101" s="8" t="s">
        <v>23</v>
      </c>
      <c r="K101" s="8"/>
      <c r="L101" s="8"/>
      <c r="M101" s="8"/>
      <c r="N101" s="8"/>
      <c r="O101" s="8"/>
      <c r="P101" s="8"/>
      <c r="Q101" s="8"/>
      <c r="R101" s="8"/>
      <c r="S101" s="8"/>
      <c r="T101" s="8"/>
      <c r="U101" s="8"/>
      <c r="V101" s="8" t="s">
        <v>383</v>
      </c>
      <c r="W101" s="13" t="s">
        <v>794</v>
      </c>
      <c r="X101" s="8" t="s">
        <v>925</v>
      </c>
      <c r="Y101" s="17" t="s">
        <v>926</v>
      </c>
      <c r="Z101" s="17"/>
      <c r="AA101" s="17"/>
      <c r="AB101" s="17"/>
      <c r="AC101"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102" spans="1:29" ht="100.8">
      <c r="A102" s="11" t="s">
        <v>389</v>
      </c>
      <c r="B102" s="8" t="s">
        <v>390</v>
      </c>
      <c r="C102" s="8" t="s">
        <v>391</v>
      </c>
      <c r="D102" s="8" t="s">
        <v>862</v>
      </c>
      <c r="E102" s="8"/>
      <c r="F102" s="8"/>
      <c r="G102" s="8" t="s">
        <v>729</v>
      </c>
      <c r="H102" s="8"/>
      <c r="I102" s="8" t="e">
        <v>#N/A</v>
      </c>
      <c r="J102" s="8" t="s">
        <v>23</v>
      </c>
      <c r="K102" s="8"/>
      <c r="L102" s="8"/>
      <c r="M102" s="8"/>
      <c r="N102" s="8"/>
      <c r="O102" s="8"/>
      <c r="P102" s="8"/>
      <c r="Q102" s="8"/>
      <c r="R102" s="8"/>
      <c r="S102" s="8"/>
      <c r="T102" s="8"/>
      <c r="U102" s="8"/>
      <c r="V102" s="8"/>
      <c r="W102" s="13" t="s">
        <v>795</v>
      </c>
      <c r="X102" s="8" t="s">
        <v>925</v>
      </c>
      <c r="Y102" s="17" t="s">
        <v>926</v>
      </c>
      <c r="Z102" s="17" t="s">
        <v>927</v>
      </c>
      <c r="AA102" s="17"/>
      <c r="AB102" s="17"/>
      <c r="AC102"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103" spans="1:29" ht="115.2">
      <c r="A103" s="11" t="s">
        <v>392</v>
      </c>
      <c r="B103" s="8" t="s">
        <v>393</v>
      </c>
      <c r="C103" s="8" t="s">
        <v>921</v>
      </c>
      <c r="D103" s="8" t="s">
        <v>394</v>
      </c>
      <c r="E103" s="8"/>
      <c r="F103" s="8"/>
      <c r="G103" s="8" t="s">
        <v>729</v>
      </c>
      <c r="H103" s="8"/>
      <c r="I103" s="8" t="s">
        <v>755</v>
      </c>
      <c r="J103" s="8" t="s">
        <v>23</v>
      </c>
      <c r="K103" s="8"/>
      <c r="L103" s="8"/>
      <c r="M103" s="8"/>
      <c r="N103" s="8"/>
      <c r="O103" s="8"/>
      <c r="P103" s="8"/>
      <c r="Q103" s="8"/>
      <c r="R103" s="8"/>
      <c r="S103" s="8"/>
      <c r="T103" s="8"/>
      <c r="U103" s="8"/>
      <c r="V103" s="8"/>
      <c r="W103" s="13" t="s">
        <v>796</v>
      </c>
      <c r="X103" s="8" t="s">
        <v>862</v>
      </c>
      <c r="Y103" s="17"/>
      <c r="Z103" s="17"/>
      <c r="AA103" s="17"/>
      <c r="AB103" s="17"/>
      <c r="AC103"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104" spans="1:29" ht="100.8">
      <c r="A104" s="11" t="s">
        <v>395</v>
      </c>
      <c r="B104" s="8" t="s">
        <v>396</v>
      </c>
      <c r="C104" s="8" t="s">
        <v>397</v>
      </c>
      <c r="D104" s="8" t="s">
        <v>862</v>
      </c>
      <c r="E104" s="8"/>
      <c r="F104" s="8"/>
      <c r="G104" s="8" t="s">
        <v>729</v>
      </c>
      <c r="H104" s="8"/>
      <c r="I104" s="8" t="e">
        <v>#N/A</v>
      </c>
      <c r="J104" s="8" t="s">
        <v>23</v>
      </c>
      <c r="K104" s="8"/>
      <c r="L104" s="8"/>
      <c r="M104" s="8"/>
      <c r="N104" s="8"/>
      <c r="O104" s="8"/>
      <c r="P104" s="8"/>
      <c r="Q104" s="8"/>
      <c r="R104" s="8"/>
      <c r="S104" s="8"/>
      <c r="T104" s="8"/>
      <c r="U104" s="8"/>
      <c r="V104" s="8"/>
      <c r="W104" s="13" t="s">
        <v>423</v>
      </c>
      <c r="X104" s="8" t="s">
        <v>925</v>
      </c>
      <c r="Y104" s="17" t="s">
        <v>926</v>
      </c>
      <c r="Z104" s="17"/>
      <c r="AA104" s="17"/>
      <c r="AB104" s="17"/>
      <c r="AC104"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105" spans="1:29" ht="129.6">
      <c r="A105" s="11" t="s">
        <v>398</v>
      </c>
      <c r="B105" s="8" t="s">
        <v>399</v>
      </c>
      <c r="C105" s="8" t="s">
        <v>922</v>
      </c>
      <c r="D105" s="8" t="s">
        <v>400</v>
      </c>
      <c r="E105" s="8"/>
      <c r="F105" s="8"/>
      <c r="G105" s="8" t="s">
        <v>729</v>
      </c>
      <c r="H105" s="8"/>
      <c r="I105" s="8" t="e">
        <v>#N/A</v>
      </c>
      <c r="J105" s="8" t="s">
        <v>23</v>
      </c>
      <c r="K105" s="8"/>
      <c r="L105" s="8"/>
      <c r="M105" s="8"/>
      <c r="N105" s="8"/>
      <c r="O105" s="8"/>
      <c r="P105" s="8"/>
      <c r="Q105" s="8"/>
      <c r="R105" s="8"/>
      <c r="S105" s="8"/>
      <c r="T105" s="8"/>
      <c r="U105" s="8"/>
      <c r="V105" s="8"/>
      <c r="W105" s="13" t="s">
        <v>789</v>
      </c>
      <c r="X105" s="8" t="s">
        <v>862</v>
      </c>
      <c r="Y105" s="17"/>
      <c r="Z105" s="17"/>
      <c r="AA105" s="17"/>
      <c r="AB105" s="17"/>
      <c r="AC105"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
      </c>
    </row>
    <row r="106" spans="1:29" ht="144">
      <c r="A106" s="11" t="s">
        <v>401</v>
      </c>
      <c r="B106" s="8" t="s">
        <v>403</v>
      </c>
      <c r="C106" s="8" t="s">
        <v>404</v>
      </c>
      <c r="D106" s="8" t="s">
        <v>862</v>
      </c>
      <c r="E106" s="8"/>
      <c r="F106" s="8"/>
      <c r="G106" s="8" t="s">
        <v>733</v>
      </c>
      <c r="H106" s="8"/>
      <c r="I106" s="8" t="e">
        <v>#N/A</v>
      </c>
      <c r="J106" s="8" t="s">
        <v>23</v>
      </c>
      <c r="K106" s="8"/>
      <c r="L106" s="8"/>
      <c r="M106" s="8"/>
      <c r="N106" s="8"/>
      <c r="O106" s="8"/>
      <c r="P106" s="8"/>
      <c r="Q106" s="8"/>
      <c r="R106" s="8"/>
      <c r="S106" s="8"/>
      <c r="T106" s="8"/>
      <c r="U106" s="8"/>
      <c r="V106" s="8" t="s">
        <v>402</v>
      </c>
      <c r="W106" s="13" t="s">
        <v>797</v>
      </c>
      <c r="X106" s="8" t="s">
        <v>925</v>
      </c>
      <c r="Y106" s="17" t="s">
        <v>926</v>
      </c>
      <c r="Z106" s="17" t="s">
        <v>927</v>
      </c>
      <c r="AA106" s="17"/>
      <c r="AB106" s="17"/>
      <c r="AC106" s="17"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row r="107" spans="1:29" ht="316.8">
      <c r="A107" s="14" t="s">
        <v>405</v>
      </c>
      <c r="B107" s="15" t="s">
        <v>407</v>
      </c>
      <c r="C107" s="15" t="s">
        <v>923</v>
      </c>
      <c r="D107" s="15" t="s">
        <v>408</v>
      </c>
      <c r="E107" s="15"/>
      <c r="F107" s="15"/>
      <c r="G107" s="15" t="e">
        <v>#N/A</v>
      </c>
      <c r="H107" s="15"/>
      <c r="I107" s="15" t="s">
        <v>755</v>
      </c>
      <c r="J107" s="15" t="s">
        <v>23</v>
      </c>
      <c r="K107" s="15"/>
      <c r="L107" s="15"/>
      <c r="M107" s="15"/>
      <c r="N107" s="15"/>
      <c r="O107" s="15"/>
      <c r="P107" s="15"/>
      <c r="Q107" s="15"/>
      <c r="R107" s="15"/>
      <c r="S107" s="15"/>
      <c r="T107" s="15"/>
      <c r="U107" s="15"/>
      <c r="V107" s="15" t="s">
        <v>406</v>
      </c>
      <c r="W107" s="16" t="s">
        <v>798</v>
      </c>
      <c r="X107" s="15" t="s">
        <v>925</v>
      </c>
      <c r="Y107" s="19" t="s">
        <v>926</v>
      </c>
      <c r="Z107" s="19"/>
      <c r="AA107" s="19"/>
      <c r="AB107" s="19"/>
      <c r="AC107" s="19" t="str">
        <f>IF(OR(Table2[[#This Row],[Базовий профіль - ДССЗЗІ]]&lt;&gt;"",Table2[[#This Row],[Оператори критичної інфраструктури та власники або розпорядники ОКІІ І та ІІ категорій критичності]]&lt;&gt;"",Table2[[#This Row],[Оператори критичної інфраструктури та власники або розпорядники ОКІІ ІІІ та IV категорій критичності]]&lt;&gt;"",Table2[[#This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обробляються державні інформаційні ресурси]]&lt;&gt;"",Table2[[#This Row],[Органи державної влади, інші державні органи, органи місцевого самоврядування, державні підприємства, установи та організації, які є власниками або розпорядниками систем, в яких обробляється інформація з обмеженим доступом, вимога щодо захисту якої встано]]&lt;&gt;""),"Так","")</f>
        <v>Так</v>
      </c>
    </row>
  </sheetData>
  <phoneticPr fontId="9" type="noConversion"/>
  <conditionalFormatting sqref="J2:J107">
    <cfRule type="containsText" dxfId="1" priority="1" operator="containsText" text="Yes">
      <formula>NOT(ISERROR(SEARCH("Yes",J2)))</formula>
    </cfRule>
    <cfRule type="containsText" dxfId="0" priority="2" operator="containsText" text="No">
      <formula>NOT(ISERROR(SEARCH("No",J2)))</formula>
    </cfRule>
  </conditionalFormatting>
  <dataValidations count="1">
    <dataValidation type="list" allowBlank="1" showInputMessage="1" showErrorMessage="1" sqref="E2:F107 J2:J107" xr:uid="{B1155E60-440F-411B-A380-5ED7FF601485}">
      <formula1>"Yes,No"</formula1>
    </dataValidation>
  </dataValidations>
  <hyperlinks>
    <hyperlink ref="G1" r:id="rId1" xr:uid="{8FF8604C-1535-403F-91EA-C6C47C3F7D1D}"/>
    <hyperlink ref="C1" r:id="rId2" xr:uid="{33348FEA-1200-4B07-9A57-0D28DF669839}"/>
  </hyperlinks>
  <pageMargins left="0.7" right="0.7" top="0.75" bottom="0.75" header="0.3" footer="0.3"/>
  <pageSetup paperSize="9" orientation="portrait" r:id="rId3"/>
  <legacy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FE81-F8C4-4550-A469-2F9739D8B346}">
  <dimension ref="A1:H768"/>
  <sheetViews>
    <sheetView workbookViewId="0"/>
  </sheetViews>
  <sheetFormatPr defaultRowHeight="14.4"/>
  <cols>
    <col min="1" max="1" width="15.44140625" bestFit="1" customWidth="1"/>
    <col min="2" max="2" width="34.21875" bestFit="1" customWidth="1"/>
    <col min="3" max="4" width="20" bestFit="1" customWidth="1"/>
    <col min="5" max="5" width="10.77734375" bestFit="1" customWidth="1"/>
    <col min="6" max="6" width="12.21875" bestFit="1" customWidth="1"/>
    <col min="7" max="7" width="0" hidden="1" customWidth="1"/>
    <col min="8" max="8" width="36.6640625" hidden="1" customWidth="1"/>
  </cols>
  <sheetData>
    <row r="1" spans="1:8">
      <c r="A1" t="s">
        <v>710</v>
      </c>
      <c r="B1" t="s">
        <v>709</v>
      </c>
    </row>
    <row r="2" spans="1:8" ht="43.2">
      <c r="A2" s="6" t="s">
        <v>708</v>
      </c>
      <c r="B2" s="6" t="s">
        <v>707</v>
      </c>
      <c r="C2" s="6" t="s">
        <v>706</v>
      </c>
      <c r="D2" s="6" t="s">
        <v>705</v>
      </c>
      <c r="E2" s="6" t="s">
        <v>704</v>
      </c>
      <c r="F2" s="6" t="s">
        <v>703</v>
      </c>
      <c r="G2" t="s">
        <v>756</v>
      </c>
      <c r="H2" t="s">
        <v>757</v>
      </c>
    </row>
    <row r="3" spans="1:8" ht="57.6">
      <c r="A3" s="1" t="s">
        <v>702</v>
      </c>
      <c r="B3" s="1" t="s">
        <v>701</v>
      </c>
      <c r="C3" s="5"/>
      <c r="D3" s="1"/>
      <c r="E3" s="1"/>
      <c r="F3" s="1"/>
      <c r="G3" s="7">
        <f>COUNTIF(SheetTable02[Focal Document
Element],A3)</f>
        <v>1</v>
      </c>
      <c r="H3" s="7" t="str">
        <f>IF(A3=A2,"",_xlfn.TEXTJOIN(", ", TRUE, C3:INDEX(C:C, ROW(C3)+SheetTable02[[#This Row],[Column1]]-1)))</f>
        <v/>
      </c>
    </row>
    <row r="4" spans="1:8" ht="86.4">
      <c r="A4" s="1" t="s">
        <v>700</v>
      </c>
      <c r="B4" s="1" t="s">
        <v>699</v>
      </c>
      <c r="C4" s="1"/>
      <c r="D4" s="1"/>
      <c r="E4" s="1"/>
      <c r="F4" s="1"/>
      <c r="G4" s="7">
        <f>COUNTIF(SheetTable02[Focal Document
Element],A4)</f>
        <v>1</v>
      </c>
      <c r="H4" s="7" t="str">
        <f>IF(A4=A3,"",_xlfn.TEXTJOIN(", ", TRUE, C4:INDEX(C:C, ROW(C4)+SheetTable02[[#This Row],[Column1]]-1)))</f>
        <v/>
      </c>
    </row>
    <row r="5" spans="1:8" ht="43.2">
      <c r="A5" s="1" t="s">
        <v>19</v>
      </c>
      <c r="B5" s="1" t="s">
        <v>21</v>
      </c>
      <c r="C5" s="1" t="s">
        <v>425</v>
      </c>
      <c r="D5" s="1"/>
      <c r="E5" s="1"/>
      <c r="F5" s="1"/>
      <c r="G5" s="7">
        <f>COUNTIF(SheetTable02[Focal Document
Element],A5)</f>
        <v>1</v>
      </c>
      <c r="H5" s="7" t="str">
        <f>IF(A5=A4,"",_xlfn.TEXTJOIN(", ", TRUE, C5:INDEX(C:C, ROW(C5)+SheetTable02[[#This Row],[Column1]]-1)))</f>
        <v>PM-11</v>
      </c>
    </row>
    <row r="6" spans="1:8" ht="72">
      <c r="A6" s="1" t="s">
        <v>24</v>
      </c>
      <c r="B6" s="1" t="s">
        <v>26</v>
      </c>
      <c r="C6" s="1" t="s">
        <v>636</v>
      </c>
      <c r="D6" s="1"/>
      <c r="E6" s="1"/>
      <c r="F6" s="1"/>
      <c r="G6" s="7">
        <f>COUNTIF(SheetTable02[Focal Document
Element],A6)</f>
        <v>7</v>
      </c>
      <c r="H6" s="7" t="str">
        <f>IF(A6=A5,"",_xlfn.TEXTJOIN(", ", TRUE, C6:INDEX(C:C, ROW(C6)+SheetTable02[[#This Row],[Column1]]-1)))</f>
        <v>PM-09
, PM-18, PM-30, SR-03, SR-05, SR-06, SR-08</v>
      </c>
    </row>
    <row r="7" spans="1:8" ht="72">
      <c r="A7" s="1" t="s">
        <v>24</v>
      </c>
      <c r="B7" s="1" t="s">
        <v>26</v>
      </c>
      <c r="C7" s="1" t="s">
        <v>460</v>
      </c>
      <c r="D7" s="1"/>
      <c r="E7" s="1"/>
      <c r="F7" s="1"/>
      <c r="G7" s="7">
        <f>COUNTIF(SheetTable02[Focal Document
Element],A7)</f>
        <v>7</v>
      </c>
      <c r="H7" s="7" t="str">
        <f>IF(A7=A6,"",_xlfn.TEXTJOIN(", ", TRUE, C7:INDEX(C:C, ROW(C7)+SheetTable02[[#This Row],[Column1]]-1)))</f>
        <v/>
      </c>
    </row>
    <row r="8" spans="1:8" ht="72">
      <c r="A8" s="1" t="s">
        <v>24</v>
      </c>
      <c r="B8" s="1" t="s">
        <v>26</v>
      </c>
      <c r="C8" s="1" t="s">
        <v>458</v>
      </c>
      <c r="D8" s="1"/>
      <c r="E8" s="1"/>
      <c r="F8" s="1"/>
      <c r="G8" s="7">
        <f>COUNTIF(SheetTable02[Focal Document
Element],A8)</f>
        <v>7</v>
      </c>
      <c r="H8" s="7" t="str">
        <f>IF(A8=A7,"",_xlfn.TEXTJOIN(", ", TRUE, C8:INDEX(C:C, ROW(C8)+SheetTable02[[#This Row],[Column1]]-1)))</f>
        <v/>
      </c>
    </row>
    <row r="9" spans="1:8" ht="72">
      <c r="A9" s="1" t="s">
        <v>24</v>
      </c>
      <c r="B9" s="1" t="s">
        <v>26</v>
      </c>
      <c r="C9" s="1" t="s">
        <v>437</v>
      </c>
      <c r="D9" s="1"/>
      <c r="E9" s="1"/>
      <c r="F9" s="1"/>
      <c r="G9" s="7">
        <f>COUNTIF(SheetTable02[Focal Document
Element],A9)</f>
        <v>7</v>
      </c>
      <c r="H9" s="7" t="str">
        <f>IF(A9=A8,"",_xlfn.TEXTJOIN(", ", TRUE, C9:INDEX(C:C, ROW(C9)+SheetTable02[[#This Row],[Column1]]-1)))</f>
        <v/>
      </c>
    </row>
    <row r="10" spans="1:8" ht="72">
      <c r="A10" s="1" t="s">
        <v>24</v>
      </c>
      <c r="B10" s="1" t="s">
        <v>26</v>
      </c>
      <c r="C10" s="1" t="s">
        <v>604</v>
      </c>
      <c r="D10" s="1"/>
      <c r="E10" s="1"/>
      <c r="F10" s="1"/>
      <c r="G10" s="7">
        <f>COUNTIF(SheetTable02[Focal Document
Element],A10)</f>
        <v>7</v>
      </c>
      <c r="H10" s="7" t="str">
        <f>IF(A10=A9,"",_xlfn.TEXTJOIN(", ", TRUE, C10:INDEX(C:C, ROW(C10)+SheetTable02[[#This Row],[Column1]]-1)))</f>
        <v/>
      </c>
    </row>
    <row r="11" spans="1:8" ht="72">
      <c r="A11" s="1" t="s">
        <v>24</v>
      </c>
      <c r="B11" s="1" t="s">
        <v>26</v>
      </c>
      <c r="C11" s="1" t="s">
        <v>631</v>
      </c>
      <c r="D11" s="1"/>
      <c r="E11" s="1"/>
      <c r="F11" s="1"/>
      <c r="G11" s="7">
        <f>COUNTIF(SheetTable02[Focal Document
Element],A11)</f>
        <v>7</v>
      </c>
      <c r="H11" s="7" t="str">
        <f>IF(A11=A10,"",_xlfn.TEXTJOIN(", ", TRUE, C11:INDEX(C:C, ROW(C11)+SheetTable02[[#This Row],[Column1]]-1)))</f>
        <v/>
      </c>
    </row>
    <row r="12" spans="1:8" ht="72">
      <c r="A12" s="1" t="s">
        <v>24</v>
      </c>
      <c r="B12" s="1" t="s">
        <v>26</v>
      </c>
      <c r="C12" s="1" t="s">
        <v>418</v>
      </c>
      <c r="D12" s="1"/>
      <c r="E12" s="1"/>
      <c r="F12" s="1"/>
      <c r="G12" s="7">
        <f>COUNTIF(SheetTable02[Focal Document
Element],A12)</f>
        <v>7</v>
      </c>
      <c r="H12" s="7" t="str">
        <f>IF(A12=A11,"",_xlfn.TEXTJOIN(", ", TRUE, C12:INDEX(C:C, ROW(C12)+SheetTable02[[#This Row],[Column1]]-1)))</f>
        <v/>
      </c>
    </row>
    <row r="13" spans="1:8" ht="72">
      <c r="A13" s="1" t="s">
        <v>28</v>
      </c>
      <c r="B13" s="1" t="s">
        <v>30</v>
      </c>
      <c r="C13" s="1" t="s">
        <v>596</v>
      </c>
      <c r="D13" s="1"/>
      <c r="E13" s="1"/>
      <c r="F13" s="1"/>
      <c r="G13" s="7">
        <f>COUNTIF(SheetTable02[Focal Document
Element],A13)</f>
        <v>22</v>
      </c>
      <c r="H13" s="7" t="str">
        <f>IF(A13=A12,"",_xlfn.TEXTJOIN(", ", TRUE, C13:INDEX(C:C, ROW(C13)+SheetTable02[[#This Row],[Column1]]-1)))</f>
        <v>AC-01
, AT-01, AU-01, CA-01, CM-01, CP-01, IA-01, IR-01, MA-01, MP-01, PE-01, PL-01, PM-01, PS-01, PT-01, RA-01, SA-01, SC-01, SI-01, SR-01, PM-28, PT</v>
      </c>
    </row>
    <row r="14" spans="1:8" ht="72">
      <c r="A14" s="1" t="s">
        <v>28</v>
      </c>
      <c r="B14" s="1" t="s">
        <v>30</v>
      </c>
      <c r="C14" s="1" t="s">
        <v>626</v>
      </c>
      <c r="D14" s="1"/>
      <c r="E14" s="1"/>
      <c r="F14" s="1"/>
      <c r="G14" s="7">
        <f>COUNTIF(SheetTable02[Focal Document
Element],A14)</f>
        <v>22</v>
      </c>
      <c r="H14" s="7" t="str">
        <f>IF(A14=A13,"",_xlfn.TEXTJOIN(", ", TRUE, C14:INDEX(C:C, ROW(C14)+SheetTable02[[#This Row],[Column1]]-1)))</f>
        <v/>
      </c>
    </row>
    <row r="15" spans="1:8" ht="72">
      <c r="A15" s="1" t="s">
        <v>28</v>
      </c>
      <c r="B15" s="1" t="s">
        <v>30</v>
      </c>
      <c r="C15" s="1" t="s">
        <v>625</v>
      </c>
      <c r="D15" s="1"/>
      <c r="E15" s="1"/>
      <c r="F15" s="1"/>
      <c r="G15" s="7">
        <f>COUNTIF(SheetTable02[Focal Document
Element],A15)</f>
        <v>22</v>
      </c>
      <c r="H15" s="7" t="str">
        <f>IF(A15=A14,"",_xlfn.TEXTJOIN(", ", TRUE, C15:INDEX(C:C, ROW(C15)+SheetTable02[[#This Row],[Column1]]-1)))</f>
        <v/>
      </c>
    </row>
    <row r="16" spans="1:8" ht="72">
      <c r="A16" s="1" t="s">
        <v>28</v>
      </c>
      <c r="B16" s="1" t="s">
        <v>30</v>
      </c>
      <c r="C16" s="1" t="s">
        <v>624</v>
      </c>
      <c r="D16" s="1"/>
      <c r="E16" s="1"/>
      <c r="F16" s="1"/>
      <c r="G16" s="7">
        <f>COUNTIF(SheetTable02[Focal Document
Element],A16)</f>
        <v>22</v>
      </c>
      <c r="H16" s="7" t="str">
        <f>IF(A16=A15,"",_xlfn.TEXTJOIN(", ", TRUE, C16:INDEX(C:C, ROW(C16)+SheetTable02[[#This Row],[Column1]]-1)))</f>
        <v/>
      </c>
    </row>
    <row r="17" spans="1:8" ht="72">
      <c r="A17" s="1" t="s">
        <v>28</v>
      </c>
      <c r="B17" s="1" t="s">
        <v>30</v>
      </c>
      <c r="C17" s="1" t="s">
        <v>541</v>
      </c>
      <c r="D17" s="1"/>
      <c r="E17" s="1"/>
      <c r="F17" s="1"/>
      <c r="G17" s="7">
        <f>COUNTIF(SheetTable02[Focal Document
Element],A17)</f>
        <v>22</v>
      </c>
      <c r="H17" s="7" t="str">
        <f>IF(A17=A16,"",_xlfn.TEXTJOIN(", ", TRUE, C17:INDEX(C:C, ROW(C17)+SheetTable02[[#This Row],[Column1]]-1)))</f>
        <v/>
      </c>
    </row>
    <row r="18" spans="1:8" ht="72">
      <c r="A18" s="1" t="s">
        <v>28</v>
      </c>
      <c r="B18" s="1" t="s">
        <v>30</v>
      </c>
      <c r="C18" s="1" t="s">
        <v>623</v>
      </c>
      <c r="D18" s="1"/>
      <c r="E18" s="1"/>
      <c r="F18" s="1"/>
      <c r="G18" s="7">
        <f>COUNTIF(SheetTable02[Focal Document
Element],A18)</f>
        <v>22</v>
      </c>
      <c r="H18" s="7" t="str">
        <f>IF(A18=A17,"",_xlfn.TEXTJOIN(", ", TRUE, C18:INDEX(C:C, ROW(C18)+SheetTable02[[#This Row],[Column1]]-1)))</f>
        <v/>
      </c>
    </row>
    <row r="19" spans="1:8" ht="72">
      <c r="A19" s="1" t="s">
        <v>28</v>
      </c>
      <c r="B19" s="1" t="s">
        <v>30</v>
      </c>
      <c r="C19" s="1" t="s">
        <v>594</v>
      </c>
      <c r="D19" s="1"/>
      <c r="E19" s="1"/>
      <c r="F19" s="1"/>
      <c r="G19" s="7">
        <f>COUNTIF(SheetTable02[Focal Document
Element],A19)</f>
        <v>22</v>
      </c>
      <c r="H19" s="7" t="str">
        <f>IF(A19=A18,"",_xlfn.TEXTJOIN(", ", TRUE, C19:INDEX(C:C, ROW(C19)+SheetTable02[[#This Row],[Column1]]-1)))</f>
        <v/>
      </c>
    </row>
    <row r="20" spans="1:8" ht="72">
      <c r="A20" s="1" t="s">
        <v>28</v>
      </c>
      <c r="B20" s="1" t="s">
        <v>30</v>
      </c>
      <c r="C20" s="1" t="s">
        <v>424</v>
      </c>
      <c r="D20" s="1"/>
      <c r="E20" s="1"/>
      <c r="F20" s="1"/>
      <c r="G20" s="7">
        <f>COUNTIF(SheetTable02[Focal Document
Element],A20)</f>
        <v>22</v>
      </c>
      <c r="H20" s="7" t="str">
        <f>IF(A20=A19,"",_xlfn.TEXTJOIN(", ", TRUE, C20:INDEX(C:C, ROW(C20)+SheetTable02[[#This Row],[Column1]]-1)))</f>
        <v/>
      </c>
    </row>
    <row r="21" spans="1:8" ht="72">
      <c r="A21" s="1" t="s">
        <v>28</v>
      </c>
      <c r="B21" s="1" t="s">
        <v>30</v>
      </c>
      <c r="C21" s="1" t="s">
        <v>622</v>
      </c>
      <c r="D21" s="1"/>
      <c r="E21" s="1"/>
      <c r="F21" s="1"/>
      <c r="G21" s="7">
        <f>COUNTIF(SheetTable02[Focal Document
Element],A21)</f>
        <v>22</v>
      </c>
      <c r="H21" s="7" t="str">
        <f>IF(A21=A20,"",_xlfn.TEXTJOIN(", ", TRUE, C21:INDEX(C:C, ROW(C21)+SheetTable02[[#This Row],[Column1]]-1)))</f>
        <v/>
      </c>
    </row>
    <row r="22" spans="1:8" ht="72">
      <c r="A22" s="1" t="s">
        <v>28</v>
      </c>
      <c r="B22" s="1" t="s">
        <v>30</v>
      </c>
      <c r="C22" s="1" t="s">
        <v>621</v>
      </c>
      <c r="D22" s="1"/>
      <c r="E22" s="1"/>
      <c r="F22" s="1"/>
      <c r="G22" s="7">
        <f>COUNTIF(SheetTable02[Focal Document
Element],A22)</f>
        <v>22</v>
      </c>
      <c r="H22" s="7" t="str">
        <f>IF(A22=A21,"",_xlfn.TEXTJOIN(", ", TRUE, C22:INDEX(C:C, ROW(C22)+SheetTable02[[#This Row],[Column1]]-1)))</f>
        <v/>
      </c>
    </row>
    <row r="23" spans="1:8" ht="72">
      <c r="A23" s="1" t="s">
        <v>28</v>
      </c>
      <c r="B23" s="1" t="s">
        <v>30</v>
      </c>
      <c r="C23" s="1" t="s">
        <v>620</v>
      </c>
      <c r="D23" s="1"/>
      <c r="E23" s="1"/>
      <c r="F23" s="1"/>
      <c r="G23" s="7">
        <f>COUNTIF(SheetTable02[Focal Document
Element],A23)</f>
        <v>22</v>
      </c>
      <c r="H23" s="7" t="str">
        <f>IF(A23=A22,"",_xlfn.TEXTJOIN(", ", TRUE, C23:INDEX(C:C, ROW(C23)+SheetTable02[[#This Row],[Column1]]-1)))</f>
        <v/>
      </c>
    </row>
    <row r="24" spans="1:8" ht="72">
      <c r="A24" s="1" t="s">
        <v>28</v>
      </c>
      <c r="B24" s="1" t="s">
        <v>30</v>
      </c>
      <c r="C24" s="1" t="s">
        <v>619</v>
      </c>
      <c r="D24" s="1"/>
      <c r="E24" s="1"/>
      <c r="F24" s="1"/>
      <c r="G24" s="7">
        <f>COUNTIF(SheetTable02[Focal Document
Element],A24)</f>
        <v>22</v>
      </c>
      <c r="H24" s="7" t="str">
        <f>IF(A24=A23,"",_xlfn.TEXTJOIN(", ", TRUE, C24:INDEX(C:C, ROW(C24)+SheetTable02[[#This Row],[Column1]]-1)))</f>
        <v/>
      </c>
    </row>
    <row r="25" spans="1:8" ht="72">
      <c r="A25" s="1" t="s">
        <v>28</v>
      </c>
      <c r="B25" s="1" t="s">
        <v>30</v>
      </c>
      <c r="C25" s="1" t="s">
        <v>618</v>
      </c>
      <c r="D25" s="1"/>
      <c r="E25" s="1"/>
      <c r="F25" s="1"/>
      <c r="G25" s="7">
        <f>COUNTIF(SheetTable02[Focal Document
Element],A25)</f>
        <v>22</v>
      </c>
      <c r="H25" s="7" t="str">
        <f>IF(A25=A24,"",_xlfn.TEXTJOIN(", ", TRUE, C25:INDEX(C:C, ROW(C25)+SheetTable02[[#This Row],[Column1]]-1)))</f>
        <v/>
      </c>
    </row>
    <row r="26" spans="1:8" ht="72">
      <c r="A26" s="1" t="s">
        <v>28</v>
      </c>
      <c r="B26" s="1" t="s">
        <v>30</v>
      </c>
      <c r="C26" s="1" t="s">
        <v>617</v>
      </c>
      <c r="D26" s="1"/>
      <c r="E26" s="1"/>
      <c r="F26" s="1"/>
      <c r="G26" s="7">
        <f>COUNTIF(SheetTable02[Focal Document
Element],A26)</f>
        <v>22</v>
      </c>
      <c r="H26" s="7" t="str">
        <f>IF(A26=A25,"",_xlfn.TEXTJOIN(", ", TRUE, C26:INDEX(C:C, ROW(C26)+SheetTable02[[#This Row],[Column1]]-1)))</f>
        <v/>
      </c>
    </row>
    <row r="27" spans="1:8" ht="72">
      <c r="A27" s="1" t="s">
        <v>28</v>
      </c>
      <c r="B27" s="1" t="s">
        <v>30</v>
      </c>
      <c r="C27" s="1" t="s">
        <v>616</v>
      </c>
      <c r="D27" s="1"/>
      <c r="E27" s="1"/>
      <c r="F27" s="1"/>
      <c r="G27" s="7">
        <f>COUNTIF(SheetTable02[Focal Document
Element],A27)</f>
        <v>22</v>
      </c>
      <c r="H27" s="7" t="str">
        <f>IF(A27=A26,"",_xlfn.TEXTJOIN(", ", TRUE, C27:INDEX(C:C, ROW(C27)+SheetTable02[[#This Row],[Column1]]-1)))</f>
        <v/>
      </c>
    </row>
    <row r="28" spans="1:8" ht="72">
      <c r="A28" s="1" t="s">
        <v>28</v>
      </c>
      <c r="B28" s="1" t="s">
        <v>30</v>
      </c>
      <c r="C28" s="1" t="s">
        <v>615</v>
      </c>
      <c r="D28" s="1"/>
      <c r="E28" s="1"/>
      <c r="F28" s="1"/>
      <c r="G28" s="7">
        <f>COUNTIF(SheetTable02[Focal Document
Element],A28)</f>
        <v>22</v>
      </c>
      <c r="H28" s="7" t="str">
        <f>IF(A28=A27,"",_xlfn.TEXTJOIN(", ", TRUE, C28:INDEX(C:C, ROW(C28)+SheetTable02[[#This Row],[Column1]]-1)))</f>
        <v/>
      </c>
    </row>
    <row r="29" spans="1:8" ht="72">
      <c r="A29" s="1" t="s">
        <v>28</v>
      </c>
      <c r="B29" s="1" t="s">
        <v>30</v>
      </c>
      <c r="C29" s="1" t="s">
        <v>614</v>
      </c>
      <c r="D29" s="1"/>
      <c r="E29" s="1"/>
      <c r="F29" s="1"/>
      <c r="G29" s="7">
        <f>COUNTIF(SheetTable02[Focal Document
Element],A29)</f>
        <v>22</v>
      </c>
      <c r="H29" s="7" t="str">
        <f>IF(A29=A28,"",_xlfn.TEXTJOIN(", ", TRUE, C29:INDEX(C:C, ROW(C29)+SheetTable02[[#This Row],[Column1]]-1)))</f>
        <v/>
      </c>
    </row>
    <row r="30" spans="1:8" ht="72">
      <c r="A30" s="1" t="s">
        <v>28</v>
      </c>
      <c r="B30" s="1" t="s">
        <v>30</v>
      </c>
      <c r="C30" s="1" t="s">
        <v>613</v>
      </c>
      <c r="D30" s="1"/>
      <c r="E30" s="1"/>
      <c r="F30" s="1"/>
      <c r="G30" s="7">
        <f>COUNTIF(SheetTable02[Focal Document
Element],A30)</f>
        <v>22</v>
      </c>
      <c r="H30" s="7" t="str">
        <f>IF(A30=A29,"",_xlfn.TEXTJOIN(", ", TRUE, C30:INDEX(C:C, ROW(C30)+SheetTable02[[#This Row],[Column1]]-1)))</f>
        <v/>
      </c>
    </row>
    <row r="31" spans="1:8" ht="72">
      <c r="A31" s="1" t="s">
        <v>28</v>
      </c>
      <c r="B31" s="1" t="s">
        <v>30</v>
      </c>
      <c r="C31" s="1" t="s">
        <v>612</v>
      </c>
      <c r="D31" s="1"/>
      <c r="E31" s="1"/>
      <c r="F31" s="1"/>
      <c r="G31" s="7">
        <f>COUNTIF(SheetTable02[Focal Document
Element],A31)</f>
        <v>22</v>
      </c>
      <c r="H31" s="7" t="str">
        <f>IF(A31=A30,"",_xlfn.TEXTJOIN(", ", TRUE, C31:INDEX(C:C, ROW(C31)+SheetTable02[[#This Row],[Column1]]-1)))</f>
        <v/>
      </c>
    </row>
    <row r="32" spans="1:8" ht="72">
      <c r="A32" s="1" t="s">
        <v>28</v>
      </c>
      <c r="B32" s="1" t="s">
        <v>30</v>
      </c>
      <c r="C32" s="1" t="s">
        <v>611</v>
      </c>
      <c r="D32" s="1"/>
      <c r="E32" s="1"/>
      <c r="F32" s="1"/>
      <c r="G32" s="7">
        <f>COUNTIF(SheetTable02[Focal Document
Element],A32)</f>
        <v>22</v>
      </c>
      <c r="H32" s="7" t="str">
        <f>IF(A32=A31,"",_xlfn.TEXTJOIN(", ", TRUE, C32:INDEX(C:C, ROW(C32)+SheetTable02[[#This Row],[Column1]]-1)))</f>
        <v/>
      </c>
    </row>
    <row r="33" spans="1:8" ht="72">
      <c r="A33" s="1" t="s">
        <v>28</v>
      </c>
      <c r="B33" s="1" t="s">
        <v>30</v>
      </c>
      <c r="C33" s="1" t="s">
        <v>459</v>
      </c>
      <c r="D33" s="1"/>
      <c r="E33" s="1"/>
      <c r="F33" s="1"/>
      <c r="G33" s="7">
        <f>COUNTIF(SheetTable02[Focal Document
Element],A33)</f>
        <v>22</v>
      </c>
      <c r="H33" s="7" t="str">
        <f>IF(A33=A32,"",_xlfn.TEXTJOIN(", ", TRUE, C33:INDEX(C:C, ROW(C33)+SheetTable02[[#This Row],[Column1]]-1)))</f>
        <v/>
      </c>
    </row>
    <row r="34" spans="1:8" ht="72">
      <c r="A34" s="1" t="s">
        <v>28</v>
      </c>
      <c r="B34" s="1" t="s">
        <v>30</v>
      </c>
      <c r="C34" s="1" t="s">
        <v>698</v>
      </c>
      <c r="D34" s="1"/>
      <c r="E34" s="1"/>
      <c r="F34" s="1"/>
      <c r="G34" s="7">
        <f>COUNTIF(SheetTable02[Focal Document
Element],A34)</f>
        <v>22</v>
      </c>
      <c r="H34" s="7" t="str">
        <f>IF(A34=A33,"",_xlfn.TEXTJOIN(", ", TRUE, C34:INDEX(C:C, ROW(C34)+SheetTable02[[#This Row],[Column1]]-1)))</f>
        <v/>
      </c>
    </row>
    <row r="35" spans="1:8" ht="57.6">
      <c r="A35" s="1" t="s">
        <v>32</v>
      </c>
      <c r="B35" s="1" t="s">
        <v>34</v>
      </c>
      <c r="C35" s="1" t="s">
        <v>427</v>
      </c>
      <c r="D35" s="1"/>
      <c r="E35" s="1"/>
      <c r="F35" s="1"/>
      <c r="G35" s="7">
        <f>COUNTIF(SheetTable02[Focal Document
Element],A35)</f>
        <v>5</v>
      </c>
      <c r="H35" s="7" t="str">
        <f>IF(A35=A34,"",_xlfn.TEXTJOIN(", ", TRUE, C35:INDEX(C:C, ROW(C35)+SheetTable02[[#This Row],[Column1]]-1)))</f>
        <v>PM-08, PM-11, CP-02(08), PM-30(01), RA-09</v>
      </c>
    </row>
    <row r="36" spans="1:8" ht="57.6">
      <c r="A36" s="1" t="s">
        <v>32</v>
      </c>
      <c r="B36" s="1" t="s">
        <v>34</v>
      </c>
      <c r="C36" s="1" t="s">
        <v>425</v>
      </c>
      <c r="D36" s="1"/>
      <c r="E36" s="1"/>
      <c r="F36" s="1"/>
      <c r="G36" s="7">
        <f>COUNTIF(SheetTable02[Focal Document
Element],A36)</f>
        <v>5</v>
      </c>
      <c r="H36" s="7" t="str">
        <f>IF(A36=A35,"",_xlfn.TEXTJOIN(", ", TRUE, C36:INDEX(C:C, ROW(C36)+SheetTable02[[#This Row],[Column1]]-1)))</f>
        <v/>
      </c>
    </row>
    <row r="37" spans="1:8" ht="57.6">
      <c r="A37" s="1" t="s">
        <v>32</v>
      </c>
      <c r="B37" s="1" t="s">
        <v>34</v>
      </c>
      <c r="C37" s="1" t="s">
        <v>697</v>
      </c>
      <c r="D37" s="1"/>
      <c r="E37" s="1"/>
      <c r="F37" s="1"/>
      <c r="G37" s="7">
        <f>COUNTIF(SheetTable02[Focal Document
Element],A37)</f>
        <v>5</v>
      </c>
      <c r="H37" s="7" t="str">
        <f>IF(A37=A36,"",_xlfn.TEXTJOIN(", ", TRUE, C37:INDEX(C:C, ROW(C37)+SheetTable02[[#This Row],[Column1]]-1)))</f>
        <v/>
      </c>
    </row>
    <row r="38" spans="1:8" ht="57.6">
      <c r="A38" s="1" t="s">
        <v>32</v>
      </c>
      <c r="B38" s="1" t="s">
        <v>34</v>
      </c>
      <c r="C38" s="1" t="s">
        <v>696</v>
      </c>
      <c r="D38" s="1"/>
      <c r="E38" s="1"/>
      <c r="F38" s="1"/>
      <c r="G38" s="7">
        <f>COUNTIF(SheetTable02[Focal Document
Element],A38)</f>
        <v>5</v>
      </c>
      <c r="H38" s="7" t="str">
        <f>IF(A38=A37,"",_xlfn.TEXTJOIN(", ", TRUE, C38:INDEX(C:C, ROW(C38)+SheetTable02[[#This Row],[Column1]]-1)))</f>
        <v/>
      </c>
    </row>
    <row r="39" spans="1:8" ht="57.6">
      <c r="A39" s="1" t="s">
        <v>32</v>
      </c>
      <c r="B39" s="1" t="s">
        <v>34</v>
      </c>
      <c r="C39" s="1" t="s">
        <v>638</v>
      </c>
      <c r="D39" s="1"/>
      <c r="E39" s="1"/>
      <c r="F39" s="1"/>
      <c r="G39" s="7">
        <f>COUNTIF(SheetTable02[Focal Document
Element],A39)</f>
        <v>5</v>
      </c>
      <c r="H39" s="7" t="str">
        <f>IF(A39=A38,"",_xlfn.TEXTJOIN(", ", TRUE, C39:INDEX(C:C, ROW(C39)+SheetTable02[[#This Row],[Column1]]-1)))</f>
        <v/>
      </c>
    </row>
    <row r="40" spans="1:8" ht="43.2">
      <c r="A40" s="1" t="s">
        <v>36</v>
      </c>
      <c r="B40" s="1" t="s">
        <v>38</v>
      </c>
      <c r="C40" s="1" t="s">
        <v>695</v>
      </c>
      <c r="D40" s="1"/>
      <c r="E40" s="1"/>
      <c r="F40" s="1"/>
      <c r="G40" s="7">
        <f>COUNTIF(SheetTable02[Focal Document
Element],A40)</f>
        <v>5</v>
      </c>
      <c r="H40" s="7" t="str">
        <f>IF(A40=A39,"",_xlfn.TEXTJOIN(", ", TRUE, C40:INDEX(C:C, ROW(C40)+SheetTable02[[#This Row],[Column1]]-1)))</f>
        <v>PM-11
, PM-30, RA-07, SA-09, SR-05</v>
      </c>
    </row>
    <row r="41" spans="1:8" ht="43.2">
      <c r="A41" s="1" t="s">
        <v>36</v>
      </c>
      <c r="B41" s="1" t="s">
        <v>38</v>
      </c>
      <c r="C41" s="1" t="s">
        <v>458</v>
      </c>
      <c r="D41" s="1"/>
      <c r="E41" s="1"/>
      <c r="F41" s="1"/>
      <c r="G41" s="7">
        <f>COUNTIF(SheetTable02[Focal Document
Element],A41)</f>
        <v>5</v>
      </c>
      <c r="H41" s="7" t="str">
        <f>IF(A41=A40,"",_xlfn.TEXTJOIN(", ", TRUE, C41:INDEX(C:C, ROW(C41)+SheetTable02[[#This Row],[Column1]]-1)))</f>
        <v/>
      </c>
    </row>
    <row r="42" spans="1:8" ht="43.2">
      <c r="A42" s="1" t="s">
        <v>36</v>
      </c>
      <c r="B42" s="1" t="s">
        <v>38</v>
      </c>
      <c r="C42" s="1" t="s">
        <v>441</v>
      </c>
      <c r="D42" s="1"/>
      <c r="E42" s="1"/>
      <c r="F42" s="1"/>
      <c r="G42" s="7">
        <f>COUNTIF(SheetTable02[Focal Document
Element],A42)</f>
        <v>5</v>
      </c>
      <c r="H42" s="7" t="str">
        <f>IF(A42=A41,"",_xlfn.TEXTJOIN(", ", TRUE, C42:INDEX(C:C, ROW(C42)+SheetTable02[[#This Row],[Column1]]-1)))</f>
        <v/>
      </c>
    </row>
    <row r="43" spans="1:8" ht="43.2">
      <c r="A43" s="1" t="s">
        <v>36</v>
      </c>
      <c r="B43" s="1" t="s">
        <v>38</v>
      </c>
      <c r="C43" s="1" t="s">
        <v>476</v>
      </c>
      <c r="D43" s="1"/>
      <c r="E43" s="1"/>
      <c r="F43" s="1"/>
      <c r="G43" s="7">
        <f>COUNTIF(SheetTable02[Focal Document
Element],A43)</f>
        <v>5</v>
      </c>
      <c r="H43" s="7" t="str">
        <f>IF(A43=A42,"",_xlfn.TEXTJOIN(", ", TRUE, C43:INDEX(C:C, ROW(C43)+SheetTable02[[#This Row],[Column1]]-1)))</f>
        <v/>
      </c>
    </row>
    <row r="44" spans="1:8" ht="43.2">
      <c r="A44" s="1" t="s">
        <v>36</v>
      </c>
      <c r="B44" s="1" t="s">
        <v>38</v>
      </c>
      <c r="C44" s="1" t="s">
        <v>604</v>
      </c>
      <c r="D44" s="1"/>
      <c r="E44" s="1"/>
      <c r="F44" s="1"/>
      <c r="G44" s="7">
        <f>COUNTIF(SheetTable02[Focal Document
Element],A44)</f>
        <v>5</v>
      </c>
      <c r="H44" s="7" t="str">
        <f>IF(A44=A43,"",_xlfn.TEXTJOIN(", ", TRUE, C44:INDEX(C:C, ROW(C44)+SheetTable02[[#This Row],[Column1]]-1)))</f>
        <v/>
      </c>
    </row>
    <row r="45" spans="1:8" ht="72">
      <c r="A45" s="1" t="s">
        <v>694</v>
      </c>
      <c r="B45" s="1" t="s">
        <v>693</v>
      </c>
      <c r="C45" s="1"/>
      <c r="D45" s="1"/>
      <c r="E45" s="1"/>
      <c r="F45" s="1"/>
      <c r="G45" s="7">
        <f>COUNTIF(SheetTable02[Focal Document
Element],A45)</f>
        <v>1</v>
      </c>
      <c r="H45" s="7" t="str">
        <f>IF(A45=A44,"",_xlfn.TEXTJOIN(", ", TRUE, C45:INDEX(C:C, ROW(C45)+SheetTable02[[#This Row],[Column1]]-1)))</f>
        <v/>
      </c>
    </row>
    <row r="46" spans="1:8" ht="43.2">
      <c r="A46" s="1" t="s">
        <v>40</v>
      </c>
      <c r="B46" s="1" t="s">
        <v>42</v>
      </c>
      <c r="C46" s="1" t="s">
        <v>636</v>
      </c>
      <c r="D46" s="1"/>
      <c r="E46" s="1"/>
      <c r="F46" s="1"/>
      <c r="G46" s="7">
        <f>COUNTIF(SheetTable02[Focal Document
Element],A46)</f>
        <v>3</v>
      </c>
      <c r="H46" s="7" t="str">
        <f>IF(A46=A45,"",_xlfn.TEXTJOIN(", ", TRUE, C46:INDEX(C:C, ROW(C46)+SheetTable02[[#This Row],[Column1]]-1)))</f>
        <v>PM-09
, RA-07, SR-02</v>
      </c>
    </row>
    <row r="47" spans="1:8" ht="43.2">
      <c r="A47" s="1" t="s">
        <v>40</v>
      </c>
      <c r="B47" s="1" t="s">
        <v>42</v>
      </c>
      <c r="C47" s="1" t="s">
        <v>441</v>
      </c>
      <c r="D47" s="1"/>
      <c r="E47" s="1"/>
      <c r="F47" s="1"/>
      <c r="G47" s="7">
        <f>COUNTIF(SheetTable02[Focal Document
Element],A47)</f>
        <v>3</v>
      </c>
      <c r="H47" s="7" t="str">
        <f>IF(A47=A46,"",_xlfn.TEXTJOIN(", ", TRUE, C47:INDEX(C:C, ROW(C47)+SheetTable02[[#This Row],[Column1]]-1)))</f>
        <v/>
      </c>
    </row>
    <row r="48" spans="1:8" ht="43.2">
      <c r="A48" s="1" t="s">
        <v>40</v>
      </c>
      <c r="B48" s="1" t="s">
        <v>42</v>
      </c>
      <c r="C48" s="1" t="s">
        <v>601</v>
      </c>
      <c r="G48" s="7">
        <f>COUNTIF(SheetTable02[Focal Document
Element],A48)</f>
        <v>3</v>
      </c>
      <c r="H48" s="7" t="str">
        <f>IF(A48=A47,"",_xlfn.TEXTJOIN(", ", TRUE, C48:INDEX(C:C, ROW(C48)+SheetTable02[[#This Row],[Column1]]-1)))</f>
        <v/>
      </c>
    </row>
    <row r="49" spans="1:8" ht="43.2">
      <c r="A49" s="1" t="s">
        <v>44</v>
      </c>
      <c r="B49" s="1" t="s">
        <v>46</v>
      </c>
      <c r="C49" s="1" t="s">
        <v>636</v>
      </c>
      <c r="D49" s="1"/>
      <c r="E49" s="1"/>
      <c r="F49" s="1"/>
      <c r="G49" s="7">
        <f>COUNTIF(SheetTable02[Focal Document
Element],A49)</f>
        <v>1</v>
      </c>
      <c r="H49" s="7" t="str">
        <f>IF(A49=A48,"",_xlfn.TEXTJOIN(", ", TRUE, C49:INDEX(C:C, ROW(C49)+SheetTable02[[#This Row],[Column1]]-1)))</f>
        <v xml:space="preserve">PM-09
</v>
      </c>
    </row>
    <row r="50" spans="1:8" ht="43.2">
      <c r="A50" s="1" t="s">
        <v>48</v>
      </c>
      <c r="B50" s="1" t="s">
        <v>50</v>
      </c>
      <c r="C50" s="1" t="s">
        <v>692</v>
      </c>
      <c r="D50" s="1"/>
      <c r="E50" s="1"/>
      <c r="F50" s="1"/>
      <c r="G50" s="7">
        <f>COUNTIF(SheetTable02[Focal Document
Element],A50)</f>
        <v>5</v>
      </c>
      <c r="H50" s="7" t="str">
        <f>IF(A50=A49,"",_xlfn.TEXTJOIN(", ", TRUE, C50:INDEX(C:C, ROW(C50)+SheetTable02[[#This Row],[Column1]]-1)))</f>
        <v>PM-03
, PM-09, PM-30, RA-07, SR-02</v>
      </c>
    </row>
    <row r="51" spans="1:8" ht="43.2">
      <c r="A51" s="1" t="s">
        <v>48</v>
      </c>
      <c r="B51" s="1" t="s">
        <v>50</v>
      </c>
      <c r="C51" s="1" t="s">
        <v>426</v>
      </c>
      <c r="D51" s="1"/>
      <c r="E51" s="1"/>
      <c r="F51" s="1"/>
      <c r="G51" s="7">
        <f>COUNTIF(SheetTable02[Focal Document
Element],A51)</f>
        <v>5</v>
      </c>
      <c r="H51" s="7" t="str">
        <f>IF(A51=A50,"",_xlfn.TEXTJOIN(", ", TRUE, C51:INDEX(C:C, ROW(C51)+SheetTable02[[#This Row],[Column1]]-1)))</f>
        <v/>
      </c>
    </row>
    <row r="52" spans="1:8" ht="43.2">
      <c r="A52" s="1" t="s">
        <v>48</v>
      </c>
      <c r="B52" s="1" t="s">
        <v>50</v>
      </c>
      <c r="C52" s="1" t="s">
        <v>458</v>
      </c>
      <c r="D52" s="1"/>
      <c r="E52" s="1"/>
      <c r="F52" s="1"/>
      <c r="G52" s="7">
        <f>COUNTIF(SheetTable02[Focal Document
Element],A52)</f>
        <v>5</v>
      </c>
      <c r="H52" s="7" t="str">
        <f>IF(A52=A51,"",_xlfn.TEXTJOIN(", ", TRUE, C52:INDEX(C:C, ROW(C52)+SheetTable02[[#This Row],[Column1]]-1)))</f>
        <v/>
      </c>
    </row>
    <row r="53" spans="1:8" ht="43.2">
      <c r="A53" s="1" t="s">
        <v>48</v>
      </c>
      <c r="B53" s="1" t="s">
        <v>50</v>
      </c>
      <c r="C53" s="1" t="s">
        <v>441</v>
      </c>
      <c r="D53" s="1"/>
      <c r="E53" s="1"/>
      <c r="F53" s="1"/>
      <c r="G53" s="7">
        <f>COUNTIF(SheetTable02[Focal Document
Element],A53)</f>
        <v>5</v>
      </c>
      <c r="H53" s="7" t="str">
        <f>IF(A53=A52,"",_xlfn.TEXTJOIN(", ", TRUE, C53:INDEX(C:C, ROW(C53)+SheetTable02[[#This Row],[Column1]]-1)))</f>
        <v/>
      </c>
    </row>
    <row r="54" spans="1:8" ht="43.2">
      <c r="A54" s="1" t="s">
        <v>48</v>
      </c>
      <c r="B54" s="1" t="s">
        <v>50</v>
      </c>
      <c r="C54" s="1" t="s">
        <v>601</v>
      </c>
      <c r="D54" s="1"/>
      <c r="E54" s="1"/>
      <c r="F54" s="1"/>
      <c r="G54" s="7">
        <f>COUNTIF(SheetTable02[Focal Document
Element],A54)</f>
        <v>5</v>
      </c>
      <c r="H54" s="7" t="str">
        <f>IF(A54=A53,"",_xlfn.TEXTJOIN(", ", TRUE, C54:INDEX(C:C, ROW(C54)+SheetTable02[[#This Row],[Column1]]-1)))</f>
        <v/>
      </c>
    </row>
    <row r="55" spans="1:8" ht="43.2">
      <c r="A55" s="1" t="s">
        <v>52</v>
      </c>
      <c r="B55" s="1" t="s">
        <v>53</v>
      </c>
      <c r="C55" s="1" t="s">
        <v>636</v>
      </c>
      <c r="D55" s="1"/>
      <c r="E55" s="1"/>
      <c r="F55" s="1"/>
      <c r="G55" s="7">
        <f>COUNTIF(SheetTable02[Focal Document
Element],A55)</f>
        <v>4</v>
      </c>
      <c r="H55" s="7" t="str">
        <f>IF(A55=A54,"",_xlfn.TEXTJOIN(", ", TRUE, C55:INDEX(C:C, ROW(C55)+SheetTable02[[#This Row],[Column1]]-1)))</f>
        <v>PM-09
, PM-28, PM-30, SR-02</v>
      </c>
    </row>
    <row r="56" spans="1:8" ht="43.2">
      <c r="A56" s="1" t="s">
        <v>52</v>
      </c>
      <c r="B56" s="1" t="s">
        <v>53</v>
      </c>
      <c r="C56" s="1" t="s">
        <v>459</v>
      </c>
      <c r="D56" s="1"/>
      <c r="E56" s="1"/>
      <c r="F56" s="1"/>
      <c r="G56" s="7">
        <f>COUNTIF(SheetTable02[Focal Document
Element],A56)</f>
        <v>4</v>
      </c>
      <c r="H56" s="7" t="str">
        <f>IF(A56=A55,"",_xlfn.TEXTJOIN(", ", TRUE, C56:INDEX(C:C, ROW(C56)+SheetTable02[[#This Row],[Column1]]-1)))</f>
        <v/>
      </c>
    </row>
    <row r="57" spans="1:8" ht="43.2">
      <c r="A57" s="1" t="s">
        <v>52</v>
      </c>
      <c r="B57" s="1" t="s">
        <v>53</v>
      </c>
      <c r="C57" s="1" t="s">
        <v>458</v>
      </c>
      <c r="D57" s="1"/>
      <c r="E57" s="1"/>
      <c r="F57" s="1"/>
      <c r="G57" s="7">
        <f>COUNTIF(SheetTable02[Focal Document
Element],A57)</f>
        <v>4</v>
      </c>
      <c r="H57" s="7" t="str">
        <f>IF(A57=A56,"",_xlfn.TEXTJOIN(", ", TRUE, C57:INDEX(C:C, ROW(C57)+SheetTable02[[#This Row],[Column1]]-1)))</f>
        <v/>
      </c>
    </row>
    <row r="58" spans="1:8" ht="43.2">
      <c r="A58" s="1" t="s">
        <v>52</v>
      </c>
      <c r="B58" s="1" t="s">
        <v>53</v>
      </c>
      <c r="C58" s="1" t="s">
        <v>601</v>
      </c>
      <c r="D58" s="1"/>
      <c r="E58" s="1"/>
      <c r="F58" s="1"/>
      <c r="G58" s="7">
        <f>COUNTIF(SheetTable02[Focal Document
Element],A58)</f>
        <v>4</v>
      </c>
      <c r="H58" s="7" t="str">
        <f>IF(A58=A57,"",_xlfn.TEXTJOIN(", ", TRUE, C58:INDEX(C:C, ROW(C58)+SheetTable02[[#This Row],[Column1]]-1)))</f>
        <v/>
      </c>
    </row>
    <row r="59" spans="1:8" ht="57.6">
      <c r="A59" s="1" t="s">
        <v>55</v>
      </c>
      <c r="B59" s="1" t="s">
        <v>57</v>
      </c>
      <c r="C59" s="1" t="s">
        <v>636</v>
      </c>
      <c r="D59" s="1"/>
      <c r="E59" s="1"/>
      <c r="F59" s="1"/>
      <c r="G59" s="7">
        <f>COUNTIF(SheetTable02[Focal Document
Element],A59)</f>
        <v>2</v>
      </c>
      <c r="H59" s="7" t="str">
        <f>IF(A59=A58,"",_xlfn.TEXTJOIN(", ", TRUE, C59:INDEX(C:C, ROW(C59)+SheetTable02[[#This Row],[Column1]]-1)))</f>
        <v>PM-09
, PM-30</v>
      </c>
    </row>
    <row r="60" spans="1:8" ht="57.6">
      <c r="A60" s="1" t="s">
        <v>55</v>
      </c>
      <c r="B60" s="1" t="s">
        <v>57</v>
      </c>
      <c r="C60" s="1" t="s">
        <v>458</v>
      </c>
      <c r="D60" s="1"/>
      <c r="E60" s="1"/>
      <c r="F60" s="1"/>
      <c r="G60" s="7">
        <f>COUNTIF(SheetTable02[Focal Document
Element],A60)</f>
        <v>2</v>
      </c>
      <c r="H60" s="7" t="str">
        <f>IF(A60=A59,"",_xlfn.TEXTJOIN(", ", TRUE, C60:INDEX(C:C, ROW(C60)+SheetTable02[[#This Row],[Column1]]-1)))</f>
        <v/>
      </c>
    </row>
    <row r="61" spans="1:8" ht="57.6">
      <c r="A61" s="1" t="s">
        <v>59</v>
      </c>
      <c r="B61" s="1" t="s">
        <v>60</v>
      </c>
      <c r="C61" s="1" t="s">
        <v>636</v>
      </c>
      <c r="D61" s="1"/>
      <c r="E61" s="1"/>
      <c r="F61" s="1"/>
      <c r="G61" s="7">
        <f>COUNTIF(SheetTable02[Focal Document
Element],A61)</f>
        <v>5</v>
      </c>
      <c r="H61" s="7" t="str">
        <f>IF(A61=A60,"",_xlfn.TEXTJOIN(", ", TRUE, C61:INDEX(C:C, ROW(C61)+SheetTable02[[#This Row],[Column1]]-1)))</f>
        <v>PM-09
, PM-18, PM-28, PM-30, RA-03</v>
      </c>
    </row>
    <row r="62" spans="1:8" ht="57.6">
      <c r="A62" s="1" t="s">
        <v>59</v>
      </c>
      <c r="B62" s="1" t="s">
        <v>60</v>
      </c>
      <c r="C62" s="1" t="s">
        <v>460</v>
      </c>
      <c r="D62" s="1"/>
      <c r="E62" s="1"/>
      <c r="F62" s="1"/>
      <c r="G62" s="7">
        <f>COUNTIF(SheetTable02[Focal Document
Element],A62)</f>
        <v>5</v>
      </c>
      <c r="H62" s="7" t="str">
        <f>IF(A62=A61,"",_xlfn.TEXTJOIN(", ", TRUE, C62:INDEX(C:C, ROW(C62)+SheetTable02[[#This Row],[Column1]]-1)))</f>
        <v/>
      </c>
    </row>
    <row r="63" spans="1:8" ht="57.6">
      <c r="A63" s="1" t="s">
        <v>59</v>
      </c>
      <c r="B63" s="1" t="s">
        <v>60</v>
      </c>
      <c r="C63" s="1" t="s">
        <v>459</v>
      </c>
      <c r="D63" s="1"/>
      <c r="E63" s="1"/>
      <c r="F63" s="1"/>
      <c r="G63" s="7">
        <f>COUNTIF(SheetTable02[Focal Document
Element],A63)</f>
        <v>5</v>
      </c>
      <c r="H63" s="7" t="str">
        <f>IF(A63=A62,"",_xlfn.TEXTJOIN(", ", TRUE, C63:INDEX(C:C, ROW(C63)+SheetTable02[[#This Row],[Column1]]-1)))</f>
        <v/>
      </c>
    </row>
    <row r="64" spans="1:8" ht="57.6">
      <c r="A64" s="1" t="s">
        <v>59</v>
      </c>
      <c r="B64" s="1" t="s">
        <v>60</v>
      </c>
      <c r="C64" s="1" t="s">
        <v>458</v>
      </c>
      <c r="D64" s="1"/>
      <c r="E64" s="1"/>
      <c r="F64" s="1"/>
      <c r="G64" s="7">
        <f>COUNTIF(SheetTable02[Focal Document
Element],A64)</f>
        <v>5</v>
      </c>
      <c r="H64" s="7" t="str">
        <f>IF(A64=A63,"",_xlfn.TEXTJOIN(", ", TRUE, C64:INDEX(C:C, ROW(C64)+SheetTable02[[#This Row],[Column1]]-1)))</f>
        <v/>
      </c>
    </row>
    <row r="65" spans="1:8" ht="57.6">
      <c r="A65" s="1" t="s">
        <v>59</v>
      </c>
      <c r="B65" s="1" t="s">
        <v>60</v>
      </c>
      <c r="C65" s="1" t="s">
        <v>442</v>
      </c>
      <c r="D65" s="1"/>
      <c r="E65" s="1"/>
      <c r="F65" s="1"/>
      <c r="G65" s="7">
        <f>COUNTIF(SheetTable02[Focal Document
Element],A65)</f>
        <v>5</v>
      </c>
      <c r="H65" s="7" t="str">
        <f>IF(A65=A64,"",_xlfn.TEXTJOIN(", ", TRUE, C65:INDEX(C:C, ROW(C65)+SheetTable02[[#This Row],[Column1]]-1)))</f>
        <v/>
      </c>
    </row>
    <row r="66" spans="1:8" ht="57.6">
      <c r="A66" s="1" t="s">
        <v>62</v>
      </c>
      <c r="B66" s="1" t="s">
        <v>63</v>
      </c>
      <c r="C66" s="1" t="s">
        <v>636</v>
      </c>
      <c r="D66" s="1"/>
      <c r="E66" s="1"/>
      <c r="F66" s="1"/>
      <c r="G66" s="7">
        <f>COUNTIF(SheetTable02[Focal Document
Element],A66)</f>
        <v>5</v>
      </c>
      <c r="H66" s="7" t="str">
        <f>IF(A66=A65,"",_xlfn.TEXTJOIN(", ", TRUE, C66:INDEX(C:C, ROW(C66)+SheetTable02[[#This Row],[Column1]]-1)))</f>
        <v>PM-09
, PM-18, PM-28, PM-30, RA-03</v>
      </c>
    </row>
    <row r="67" spans="1:8" ht="57.6">
      <c r="A67" s="1" t="s">
        <v>62</v>
      </c>
      <c r="B67" s="1" t="s">
        <v>63</v>
      </c>
      <c r="C67" s="1" t="s">
        <v>460</v>
      </c>
      <c r="D67" s="1"/>
      <c r="E67" s="1"/>
      <c r="F67" s="1"/>
      <c r="G67" s="7">
        <f>COUNTIF(SheetTable02[Focal Document
Element],A67)</f>
        <v>5</v>
      </c>
      <c r="H67" s="7" t="str">
        <f>IF(A67=A66,"",_xlfn.TEXTJOIN(", ", TRUE, C67:INDEX(C:C, ROW(C67)+SheetTable02[[#This Row],[Column1]]-1)))</f>
        <v/>
      </c>
    </row>
    <row r="68" spans="1:8" ht="57.6">
      <c r="A68" s="1" t="s">
        <v>62</v>
      </c>
      <c r="B68" s="1" t="s">
        <v>63</v>
      </c>
      <c r="C68" s="1" t="s">
        <v>459</v>
      </c>
      <c r="D68" s="1"/>
      <c r="E68" s="1"/>
      <c r="F68" s="1"/>
      <c r="G68" s="7">
        <f>COUNTIF(SheetTable02[Focal Document
Element],A68)</f>
        <v>5</v>
      </c>
      <c r="H68" s="7" t="str">
        <f>IF(A68=A67,"",_xlfn.TEXTJOIN(", ", TRUE, C68:INDEX(C:C, ROW(C68)+SheetTable02[[#This Row],[Column1]]-1)))</f>
        <v/>
      </c>
    </row>
    <row r="69" spans="1:8" ht="57.6">
      <c r="A69" s="1" t="s">
        <v>62</v>
      </c>
      <c r="B69" s="1" t="s">
        <v>63</v>
      </c>
      <c r="C69" s="1" t="s">
        <v>458</v>
      </c>
      <c r="D69" s="1"/>
      <c r="E69" s="1"/>
      <c r="F69" s="1"/>
      <c r="G69" s="7">
        <f>COUNTIF(SheetTable02[Focal Document
Element],A69)</f>
        <v>5</v>
      </c>
      <c r="H69" s="7" t="str">
        <f>IF(A69=A68,"",_xlfn.TEXTJOIN(", ", TRUE, C69:INDEX(C:C, ROW(C69)+SheetTable02[[#This Row],[Column1]]-1)))</f>
        <v/>
      </c>
    </row>
    <row r="70" spans="1:8" ht="57.6">
      <c r="A70" s="1" t="s">
        <v>62</v>
      </c>
      <c r="B70" s="1" t="s">
        <v>63</v>
      </c>
      <c r="C70" s="1" t="s">
        <v>442</v>
      </c>
      <c r="D70" s="1"/>
      <c r="E70" s="1"/>
      <c r="F70" s="1"/>
      <c r="G70" s="7">
        <f>COUNTIF(SheetTable02[Focal Document
Element],A70)</f>
        <v>5</v>
      </c>
      <c r="H70" s="7" t="str">
        <f>IF(A70=A69,"",_xlfn.TEXTJOIN(", ", TRUE, C70:INDEX(C:C, ROW(C70)+SheetTable02[[#This Row],[Column1]]-1)))</f>
        <v/>
      </c>
    </row>
    <row r="71" spans="1:8" ht="72">
      <c r="A71" s="1" t="s">
        <v>691</v>
      </c>
      <c r="B71" s="1" t="s">
        <v>690</v>
      </c>
      <c r="C71" s="1"/>
      <c r="D71" s="1"/>
      <c r="E71" s="1"/>
      <c r="F71" s="1"/>
      <c r="G71" s="7">
        <f>COUNTIF(SheetTable02[Focal Document
Element],A71)</f>
        <v>1</v>
      </c>
      <c r="H71" s="7" t="str">
        <f>IF(A71=A70,"",_xlfn.TEXTJOIN(", ", TRUE, C71:INDEX(C:C, ROW(C71)+SheetTable02[[#This Row],[Column1]]-1)))</f>
        <v/>
      </c>
    </row>
    <row r="72" spans="1:8" ht="57.6">
      <c r="A72" s="1" t="s">
        <v>65</v>
      </c>
      <c r="B72" s="1" t="s">
        <v>66</v>
      </c>
      <c r="C72" s="1" t="s">
        <v>689</v>
      </c>
      <c r="D72" s="1"/>
      <c r="E72" s="1"/>
      <c r="F72" s="1"/>
      <c r="G72" s="7">
        <f>COUNTIF(SheetTable02[Focal Document
Element],A72)</f>
        <v>5</v>
      </c>
      <c r="H72" s="7" t="str">
        <f>IF(A72=A71,"",_xlfn.TEXTJOIN(", ", TRUE, C72:INDEX(C:C, ROW(C72)+SheetTable02[[#This Row],[Column1]]-1)))</f>
        <v>PM-02
, PM-19, PM-23, PM-24, PM-29</v>
      </c>
    </row>
    <row r="73" spans="1:8" ht="57.6">
      <c r="A73" s="1" t="s">
        <v>65</v>
      </c>
      <c r="B73" s="1" t="s">
        <v>66</v>
      </c>
      <c r="C73" s="1" t="s">
        <v>672</v>
      </c>
      <c r="D73" s="1"/>
      <c r="E73" s="1"/>
      <c r="F73" s="1"/>
      <c r="G73" s="7">
        <f>COUNTIF(SheetTable02[Focal Document
Element],A73)</f>
        <v>5</v>
      </c>
      <c r="H73" s="7" t="str">
        <f>IF(A73=A72,"",_xlfn.TEXTJOIN(", ", TRUE, C73:INDEX(C:C, ROW(C73)+SheetTable02[[#This Row],[Column1]]-1)))</f>
        <v/>
      </c>
    </row>
    <row r="74" spans="1:8" ht="57.6">
      <c r="A74" s="1" t="s">
        <v>65</v>
      </c>
      <c r="B74" s="1" t="s">
        <v>66</v>
      </c>
      <c r="C74" s="1" t="s">
        <v>652</v>
      </c>
      <c r="D74" s="1"/>
      <c r="E74" s="1"/>
      <c r="F74" s="1"/>
      <c r="G74" s="7">
        <f>COUNTIF(SheetTable02[Focal Document
Element],A74)</f>
        <v>5</v>
      </c>
      <c r="H74" s="7" t="str">
        <f>IF(A74=A73,"",_xlfn.TEXTJOIN(", ", TRUE, C74:INDEX(C:C, ROW(C74)+SheetTable02[[#This Row],[Column1]]-1)))</f>
        <v/>
      </c>
    </row>
    <row r="75" spans="1:8" ht="57.6">
      <c r="A75" s="1" t="s">
        <v>65</v>
      </c>
      <c r="B75" s="1" t="s">
        <v>66</v>
      </c>
      <c r="C75" s="1" t="s">
        <v>687</v>
      </c>
      <c r="D75" s="1"/>
      <c r="E75" s="1"/>
      <c r="F75" s="1"/>
      <c r="G75" s="7">
        <f>COUNTIF(SheetTable02[Focal Document
Element],A75)</f>
        <v>5</v>
      </c>
      <c r="H75" s="7" t="str">
        <f>IF(A75=A74,"",_xlfn.TEXTJOIN(", ", TRUE, C75:INDEX(C:C, ROW(C75)+SheetTable02[[#This Row],[Column1]]-1)))</f>
        <v/>
      </c>
    </row>
    <row r="76" spans="1:8" ht="57.6">
      <c r="A76" s="1" t="s">
        <v>65</v>
      </c>
      <c r="B76" s="1" t="s">
        <v>66</v>
      </c>
      <c r="C76" s="1" t="s">
        <v>686</v>
      </c>
      <c r="D76" s="1"/>
      <c r="E76" s="1"/>
      <c r="F76" s="1"/>
      <c r="G76" s="7">
        <f>COUNTIF(SheetTable02[Focal Document
Element],A76)</f>
        <v>5</v>
      </c>
      <c r="H76" s="7" t="str">
        <f>IF(A76=A75,"",_xlfn.TEXTJOIN(", ", TRUE, C76:INDEX(C:C, ROW(C76)+SheetTable02[[#This Row],[Column1]]-1)))</f>
        <v/>
      </c>
    </row>
    <row r="77" spans="1:8" ht="72">
      <c r="A77" s="1" t="s">
        <v>68</v>
      </c>
      <c r="B77" s="1" t="s">
        <v>70</v>
      </c>
      <c r="C77" s="1" t="s">
        <v>689</v>
      </c>
      <c r="D77" s="1"/>
      <c r="E77" s="1"/>
      <c r="F77" s="1"/>
      <c r="G77" s="7">
        <f>COUNTIF(SheetTable02[Focal Document
Element],A77)</f>
        <v>6</v>
      </c>
      <c r="H77" s="7" t="str">
        <f>IF(A77=A76,"",_xlfn.TEXTJOIN(", ", TRUE, C77:INDEX(C:C, ROW(C77)+SheetTable02[[#This Row],[Column1]]-1)))</f>
        <v>PM-02
, PM-13, PM-19, PM-23, PM-24, PM-29</v>
      </c>
    </row>
    <row r="78" spans="1:8" ht="72">
      <c r="A78" s="1" t="s">
        <v>68</v>
      </c>
      <c r="B78" s="1" t="s">
        <v>70</v>
      </c>
      <c r="C78" s="1" t="s">
        <v>688</v>
      </c>
      <c r="D78" s="1"/>
      <c r="E78" s="1"/>
      <c r="F78" s="1"/>
      <c r="G78" s="7">
        <f>COUNTIF(SheetTable02[Focal Document
Element],A78)</f>
        <v>6</v>
      </c>
      <c r="H78" s="7" t="str">
        <f>IF(A78=A77,"",_xlfn.TEXTJOIN(", ", TRUE, C78:INDEX(C:C, ROW(C78)+SheetTable02[[#This Row],[Column1]]-1)))</f>
        <v/>
      </c>
    </row>
    <row r="79" spans="1:8" ht="72">
      <c r="A79" s="1" t="s">
        <v>68</v>
      </c>
      <c r="B79" s="1" t="s">
        <v>70</v>
      </c>
      <c r="C79" s="1" t="s">
        <v>672</v>
      </c>
      <c r="D79" s="1"/>
      <c r="E79" s="1"/>
      <c r="F79" s="1"/>
      <c r="G79" s="7">
        <f>COUNTIF(SheetTable02[Focal Document
Element],A79)</f>
        <v>6</v>
      </c>
      <c r="H79" s="7" t="str">
        <f>IF(A79=A78,"",_xlfn.TEXTJOIN(", ", TRUE, C79:INDEX(C:C, ROW(C79)+SheetTable02[[#This Row],[Column1]]-1)))</f>
        <v/>
      </c>
    </row>
    <row r="80" spans="1:8" ht="72">
      <c r="A80" s="1" t="s">
        <v>68</v>
      </c>
      <c r="B80" s="1" t="s">
        <v>70</v>
      </c>
      <c r="C80" s="1" t="s">
        <v>652</v>
      </c>
      <c r="D80" s="1"/>
      <c r="E80" s="1"/>
      <c r="F80" s="1"/>
      <c r="G80" s="7">
        <f>COUNTIF(SheetTable02[Focal Document
Element],A80)</f>
        <v>6</v>
      </c>
      <c r="H80" s="7" t="str">
        <f>IF(A80=A79,"",_xlfn.TEXTJOIN(", ", TRUE, C80:INDEX(C:C, ROW(C80)+SheetTable02[[#This Row],[Column1]]-1)))</f>
        <v/>
      </c>
    </row>
    <row r="81" spans="1:8" ht="72">
      <c r="A81" s="1" t="s">
        <v>68</v>
      </c>
      <c r="B81" s="1" t="s">
        <v>70</v>
      </c>
      <c r="C81" s="1" t="s">
        <v>687</v>
      </c>
      <c r="D81" s="1"/>
      <c r="E81" s="1"/>
      <c r="F81" s="1"/>
      <c r="G81" s="7">
        <f>COUNTIF(SheetTable02[Focal Document
Element],A81)</f>
        <v>6</v>
      </c>
      <c r="H81" s="7" t="str">
        <f>IF(A81=A80,"",_xlfn.TEXTJOIN(", ", TRUE, C81:INDEX(C:C, ROW(C81)+SheetTable02[[#This Row],[Column1]]-1)))</f>
        <v/>
      </c>
    </row>
    <row r="82" spans="1:8" ht="72">
      <c r="A82" s="1" t="s">
        <v>68</v>
      </c>
      <c r="B82" s="1" t="s">
        <v>70</v>
      </c>
      <c r="C82" s="1" t="s">
        <v>686</v>
      </c>
      <c r="D82" s="1"/>
      <c r="E82" s="1"/>
      <c r="F82" s="1"/>
      <c r="G82" s="7">
        <f>COUNTIF(SheetTable02[Focal Document
Element],A82)</f>
        <v>6</v>
      </c>
      <c r="H82" s="7" t="str">
        <f>IF(A82=A81,"",_xlfn.TEXTJOIN(", ", TRUE, C82:INDEX(C:C, ROW(C82)+SheetTable02[[#This Row],[Column1]]-1)))</f>
        <v/>
      </c>
    </row>
    <row r="83" spans="1:8" ht="57.6">
      <c r="A83" s="1" t="s">
        <v>72</v>
      </c>
      <c r="B83" s="1" t="s">
        <v>73</v>
      </c>
      <c r="C83" s="1" t="s">
        <v>490</v>
      </c>
      <c r="D83" s="1"/>
      <c r="E83" s="1"/>
      <c r="F83" s="1"/>
      <c r="G83" s="7">
        <f>COUNTIF(SheetTable02[Focal Document
Element],A83)</f>
        <v>1</v>
      </c>
      <c r="H83" s="7" t="str">
        <f>IF(A83=A82,"",_xlfn.TEXTJOIN(", ", TRUE, C83:INDEX(C:C, ROW(C83)+SheetTable02[[#This Row],[Column1]]-1)))</f>
        <v>PM-03</v>
      </c>
    </row>
    <row r="84" spans="1:8" ht="28.8">
      <c r="A84" s="1" t="s">
        <v>75</v>
      </c>
      <c r="B84" s="1" t="s">
        <v>77</v>
      </c>
      <c r="C84" s="1" t="s">
        <v>685</v>
      </c>
      <c r="D84" s="1"/>
      <c r="E84" s="1"/>
      <c r="F84" s="1"/>
      <c r="G84" s="7">
        <f>COUNTIF(SheetTable02[Focal Document
Element],A84)</f>
        <v>4</v>
      </c>
      <c r="H84" s="7" t="str">
        <f>IF(A84=A83,"",_xlfn.TEXTJOIN(", ", TRUE, C84:INDEX(C:C, ROW(C84)+SheetTable02[[#This Row],[Column1]]-1)))</f>
        <v>PM-13
, PS-01, PS-07, PS-09</v>
      </c>
    </row>
    <row r="85" spans="1:8" ht="28.8">
      <c r="A85" s="1" t="s">
        <v>75</v>
      </c>
      <c r="B85" s="1" t="s">
        <v>77</v>
      </c>
      <c r="C85" s="1" t="s">
        <v>617</v>
      </c>
      <c r="D85" s="1"/>
      <c r="E85" s="1"/>
      <c r="F85" s="1"/>
      <c r="G85" s="7">
        <f>COUNTIF(SheetTable02[Focal Document
Element],A85)</f>
        <v>4</v>
      </c>
      <c r="H85" s="7" t="str">
        <f>IF(A85=A84,"",_xlfn.TEXTJOIN(", ", TRUE, C85:INDEX(C:C, ROW(C85)+SheetTable02[[#This Row],[Column1]]-1)))</f>
        <v/>
      </c>
    </row>
    <row r="86" spans="1:8" ht="28.8">
      <c r="A86" s="1" t="s">
        <v>75</v>
      </c>
      <c r="B86" s="1" t="s">
        <v>77</v>
      </c>
      <c r="C86" s="1" t="s">
        <v>478</v>
      </c>
      <c r="D86" s="1"/>
      <c r="E86" s="1"/>
      <c r="F86" s="1"/>
      <c r="G86" s="7">
        <f>COUNTIF(SheetTable02[Focal Document
Element],A86)</f>
        <v>4</v>
      </c>
      <c r="H86" s="7" t="str">
        <f>IF(A86=A85,"",_xlfn.TEXTJOIN(", ", TRUE, C86:INDEX(C:C, ROW(C86)+SheetTable02[[#This Row],[Column1]]-1)))</f>
        <v/>
      </c>
    </row>
    <row r="87" spans="1:8" ht="28.8">
      <c r="A87" s="1" t="s">
        <v>75</v>
      </c>
      <c r="B87" s="1" t="s">
        <v>77</v>
      </c>
      <c r="C87" s="1" t="s">
        <v>684</v>
      </c>
      <c r="D87" s="1"/>
      <c r="E87" s="1"/>
      <c r="F87" s="1"/>
      <c r="G87" s="7">
        <f>COUNTIF(SheetTable02[Focal Document
Element],A87)</f>
        <v>4</v>
      </c>
      <c r="H87" s="7" t="str">
        <f>IF(A87=A86,"",_xlfn.TEXTJOIN(", ", TRUE, C87:INDEX(C:C, ROW(C87)+SheetTable02[[#This Row],[Column1]]-1)))</f>
        <v/>
      </c>
    </row>
    <row r="88" spans="1:8" ht="43.2">
      <c r="A88" s="1" t="s">
        <v>683</v>
      </c>
      <c r="B88" s="1" t="s">
        <v>682</v>
      </c>
      <c r="C88" s="1"/>
      <c r="D88" s="1"/>
      <c r="E88" s="1"/>
      <c r="F88" s="1"/>
      <c r="G88" s="7">
        <f>COUNTIF(SheetTable02[Focal Document
Element],A88)</f>
        <v>1</v>
      </c>
      <c r="H88" s="7" t="str">
        <f>IF(A88=A87,"",_xlfn.TEXTJOIN(", ", TRUE, C88:INDEX(C:C, ROW(C88)+SheetTable02[[#This Row],[Column1]]-1)))</f>
        <v/>
      </c>
    </row>
    <row r="89" spans="1:8" ht="72">
      <c r="A89" s="1" t="s">
        <v>79</v>
      </c>
      <c r="B89" s="1" t="s">
        <v>81</v>
      </c>
      <c r="C89" s="1" t="s">
        <v>596</v>
      </c>
      <c r="D89" s="1"/>
      <c r="E89" s="1"/>
      <c r="F89" s="1"/>
      <c r="G89" s="7">
        <f>COUNTIF(SheetTable02[Focal Document
Element],A89)</f>
        <v>20</v>
      </c>
      <c r="H89" s="7" t="str">
        <f>IF(A89=A88,"",_xlfn.TEXTJOIN(", ", TRUE, C89:INDEX(C:C, ROW(C89)+SheetTable02[[#This Row],[Column1]]-1)))</f>
        <v>AC-01
, AT-01, AU-01, CA-01, CM-01, CP-01, IA-01, IR-01, MA-01, MP-01, PE-01, PL-01, PM-01, PS-01, PT-01, RA-01, SA-01, SC-01, SI-01, SR-01</v>
      </c>
    </row>
    <row r="90" spans="1:8" ht="72">
      <c r="A90" s="1" t="s">
        <v>79</v>
      </c>
      <c r="B90" s="1" t="s">
        <v>81</v>
      </c>
      <c r="C90" s="1" t="s">
        <v>626</v>
      </c>
      <c r="D90" s="1"/>
      <c r="E90" s="1"/>
      <c r="F90" s="1"/>
      <c r="G90" s="7">
        <f>COUNTIF(SheetTable02[Focal Document
Element],A90)</f>
        <v>20</v>
      </c>
      <c r="H90" s="7" t="str">
        <f>IF(A90=A89,"",_xlfn.TEXTJOIN(", ", TRUE, C90:INDEX(C:C, ROW(C90)+SheetTable02[[#This Row],[Column1]]-1)))</f>
        <v/>
      </c>
    </row>
    <row r="91" spans="1:8" ht="72">
      <c r="A91" s="1" t="s">
        <v>79</v>
      </c>
      <c r="B91" s="1" t="s">
        <v>81</v>
      </c>
      <c r="C91" s="1" t="s">
        <v>625</v>
      </c>
      <c r="D91" s="1"/>
      <c r="E91" s="1"/>
      <c r="F91" s="1"/>
      <c r="G91" s="7">
        <f>COUNTIF(SheetTable02[Focal Document
Element],A91)</f>
        <v>20</v>
      </c>
      <c r="H91" s="7" t="str">
        <f>IF(A91=A90,"",_xlfn.TEXTJOIN(", ", TRUE, C91:INDEX(C:C, ROW(C91)+SheetTable02[[#This Row],[Column1]]-1)))</f>
        <v/>
      </c>
    </row>
    <row r="92" spans="1:8" ht="72">
      <c r="A92" s="1" t="s">
        <v>79</v>
      </c>
      <c r="B92" s="1" t="s">
        <v>81</v>
      </c>
      <c r="C92" s="1" t="s">
        <v>624</v>
      </c>
      <c r="D92" s="1"/>
      <c r="E92" s="1"/>
      <c r="F92" s="1"/>
      <c r="G92" s="7">
        <f>COUNTIF(SheetTable02[Focal Document
Element],A92)</f>
        <v>20</v>
      </c>
      <c r="H92" s="7" t="str">
        <f>IF(A92=A91,"",_xlfn.TEXTJOIN(", ", TRUE, C92:INDEX(C:C, ROW(C92)+SheetTable02[[#This Row],[Column1]]-1)))</f>
        <v/>
      </c>
    </row>
    <row r="93" spans="1:8" ht="72">
      <c r="A93" s="1" t="s">
        <v>79</v>
      </c>
      <c r="B93" s="1" t="s">
        <v>81</v>
      </c>
      <c r="C93" s="1" t="s">
        <v>541</v>
      </c>
      <c r="D93" s="1"/>
      <c r="E93" s="1"/>
      <c r="F93" s="1"/>
      <c r="G93" s="7">
        <f>COUNTIF(SheetTable02[Focal Document
Element],A93)</f>
        <v>20</v>
      </c>
      <c r="H93" s="7" t="str">
        <f>IF(A93=A92,"",_xlfn.TEXTJOIN(", ", TRUE, C93:INDEX(C:C, ROW(C93)+SheetTable02[[#This Row],[Column1]]-1)))</f>
        <v/>
      </c>
    </row>
    <row r="94" spans="1:8" ht="72">
      <c r="A94" s="1" t="s">
        <v>79</v>
      </c>
      <c r="B94" s="1" t="s">
        <v>81</v>
      </c>
      <c r="C94" s="1" t="s">
        <v>623</v>
      </c>
      <c r="D94" s="1"/>
      <c r="E94" s="1"/>
      <c r="F94" s="1"/>
      <c r="G94" s="7">
        <f>COUNTIF(SheetTable02[Focal Document
Element],A94)</f>
        <v>20</v>
      </c>
      <c r="H94" s="7" t="str">
        <f>IF(A94=A93,"",_xlfn.TEXTJOIN(", ", TRUE, C94:INDEX(C:C, ROW(C94)+SheetTable02[[#This Row],[Column1]]-1)))</f>
        <v/>
      </c>
    </row>
    <row r="95" spans="1:8" ht="72">
      <c r="A95" s="1" t="s">
        <v>79</v>
      </c>
      <c r="B95" s="1" t="s">
        <v>81</v>
      </c>
      <c r="C95" s="1" t="s">
        <v>594</v>
      </c>
      <c r="D95" s="1"/>
      <c r="E95" s="1"/>
      <c r="F95" s="1"/>
      <c r="G95" s="7">
        <f>COUNTIF(SheetTable02[Focal Document
Element],A95)</f>
        <v>20</v>
      </c>
      <c r="H95" s="7" t="str">
        <f>IF(A95=A94,"",_xlfn.TEXTJOIN(", ", TRUE, C95:INDEX(C:C, ROW(C95)+SheetTable02[[#This Row],[Column1]]-1)))</f>
        <v/>
      </c>
    </row>
    <row r="96" spans="1:8" ht="72">
      <c r="A96" s="1" t="s">
        <v>79</v>
      </c>
      <c r="B96" s="1" t="s">
        <v>81</v>
      </c>
      <c r="C96" s="1" t="s">
        <v>424</v>
      </c>
      <c r="D96" s="1"/>
      <c r="E96" s="1"/>
      <c r="F96" s="1"/>
      <c r="G96" s="7">
        <f>COUNTIF(SheetTable02[Focal Document
Element],A96)</f>
        <v>20</v>
      </c>
      <c r="H96" s="7" t="str">
        <f>IF(A96=A95,"",_xlfn.TEXTJOIN(", ", TRUE, C96:INDEX(C:C, ROW(C96)+SheetTable02[[#This Row],[Column1]]-1)))</f>
        <v/>
      </c>
    </row>
    <row r="97" spans="1:8" ht="72">
      <c r="A97" s="1" t="s">
        <v>79</v>
      </c>
      <c r="B97" s="1" t="s">
        <v>81</v>
      </c>
      <c r="C97" s="1" t="s">
        <v>622</v>
      </c>
      <c r="D97" s="1"/>
      <c r="E97" s="1"/>
      <c r="F97" s="1"/>
      <c r="G97" s="7">
        <f>COUNTIF(SheetTable02[Focal Document
Element],A97)</f>
        <v>20</v>
      </c>
      <c r="H97" s="7" t="str">
        <f>IF(A97=A96,"",_xlfn.TEXTJOIN(", ", TRUE, C97:INDEX(C:C, ROW(C97)+SheetTable02[[#This Row],[Column1]]-1)))</f>
        <v/>
      </c>
    </row>
    <row r="98" spans="1:8" ht="72">
      <c r="A98" s="1" t="s">
        <v>79</v>
      </c>
      <c r="B98" s="1" t="s">
        <v>81</v>
      </c>
      <c r="C98" s="1" t="s">
        <v>621</v>
      </c>
      <c r="D98" s="1"/>
      <c r="E98" s="1"/>
      <c r="F98" s="1"/>
      <c r="G98" s="7">
        <f>COUNTIF(SheetTable02[Focal Document
Element],A98)</f>
        <v>20</v>
      </c>
      <c r="H98" s="7" t="str">
        <f>IF(A98=A97,"",_xlfn.TEXTJOIN(", ", TRUE, C98:INDEX(C:C, ROW(C98)+SheetTable02[[#This Row],[Column1]]-1)))</f>
        <v/>
      </c>
    </row>
    <row r="99" spans="1:8" ht="72">
      <c r="A99" s="1" t="s">
        <v>79</v>
      </c>
      <c r="B99" s="1" t="s">
        <v>81</v>
      </c>
      <c r="C99" s="1" t="s">
        <v>620</v>
      </c>
      <c r="D99" s="1"/>
      <c r="E99" s="1"/>
      <c r="F99" s="1"/>
      <c r="G99" s="7">
        <f>COUNTIF(SheetTable02[Focal Document
Element],A99)</f>
        <v>20</v>
      </c>
      <c r="H99" s="7" t="str">
        <f>IF(A99=A98,"",_xlfn.TEXTJOIN(", ", TRUE, C99:INDEX(C:C, ROW(C99)+SheetTable02[[#This Row],[Column1]]-1)))</f>
        <v/>
      </c>
    </row>
    <row r="100" spans="1:8" ht="72">
      <c r="A100" s="1" t="s">
        <v>79</v>
      </c>
      <c r="B100" s="1" t="s">
        <v>81</v>
      </c>
      <c r="C100" s="1" t="s">
        <v>619</v>
      </c>
      <c r="D100" s="1"/>
      <c r="E100" s="1"/>
      <c r="F100" s="1"/>
      <c r="G100" s="7">
        <f>COUNTIF(SheetTable02[Focal Document
Element],A100)</f>
        <v>20</v>
      </c>
      <c r="H100" s="7" t="str">
        <f>IF(A100=A99,"",_xlfn.TEXTJOIN(", ", TRUE, C100:INDEX(C:C, ROW(C100)+SheetTable02[[#This Row],[Column1]]-1)))</f>
        <v/>
      </c>
    </row>
    <row r="101" spans="1:8" ht="72">
      <c r="A101" s="1" t="s">
        <v>79</v>
      </c>
      <c r="B101" s="1" t="s">
        <v>81</v>
      </c>
      <c r="C101" s="1" t="s">
        <v>618</v>
      </c>
      <c r="D101" s="1"/>
      <c r="E101" s="1"/>
      <c r="F101" s="1"/>
      <c r="G101" s="7">
        <f>COUNTIF(SheetTable02[Focal Document
Element],A101)</f>
        <v>20</v>
      </c>
      <c r="H101" s="7" t="str">
        <f>IF(A101=A100,"",_xlfn.TEXTJOIN(", ", TRUE, C101:INDEX(C:C, ROW(C101)+SheetTable02[[#This Row],[Column1]]-1)))</f>
        <v/>
      </c>
    </row>
    <row r="102" spans="1:8" ht="72">
      <c r="A102" s="1" t="s">
        <v>79</v>
      </c>
      <c r="B102" s="1" t="s">
        <v>81</v>
      </c>
      <c r="C102" s="1" t="s">
        <v>617</v>
      </c>
      <c r="D102" s="1"/>
      <c r="E102" s="1"/>
      <c r="F102" s="1"/>
      <c r="G102" s="7">
        <f>COUNTIF(SheetTable02[Focal Document
Element],A102)</f>
        <v>20</v>
      </c>
      <c r="H102" s="7" t="str">
        <f>IF(A102=A101,"",_xlfn.TEXTJOIN(", ", TRUE, C102:INDEX(C:C, ROW(C102)+SheetTable02[[#This Row],[Column1]]-1)))</f>
        <v/>
      </c>
    </row>
    <row r="103" spans="1:8" ht="72">
      <c r="A103" s="1" t="s">
        <v>79</v>
      </c>
      <c r="B103" s="1" t="s">
        <v>81</v>
      </c>
      <c r="C103" s="1" t="s">
        <v>616</v>
      </c>
      <c r="D103" s="1"/>
      <c r="E103" s="1"/>
      <c r="F103" s="1"/>
      <c r="G103" s="7">
        <f>COUNTIF(SheetTable02[Focal Document
Element],A103)</f>
        <v>20</v>
      </c>
      <c r="H103" s="7" t="str">
        <f>IF(A103=A102,"",_xlfn.TEXTJOIN(", ", TRUE, C103:INDEX(C:C, ROW(C103)+SheetTable02[[#This Row],[Column1]]-1)))</f>
        <v/>
      </c>
    </row>
    <row r="104" spans="1:8" ht="72">
      <c r="A104" s="1" t="s">
        <v>79</v>
      </c>
      <c r="B104" s="1" t="s">
        <v>81</v>
      </c>
      <c r="C104" s="1" t="s">
        <v>615</v>
      </c>
      <c r="D104" s="1"/>
      <c r="E104" s="1"/>
      <c r="F104" s="1"/>
      <c r="G104" s="7">
        <f>COUNTIF(SheetTable02[Focal Document
Element],A104)</f>
        <v>20</v>
      </c>
      <c r="H104" s="7" t="str">
        <f>IF(A104=A103,"",_xlfn.TEXTJOIN(", ", TRUE, C104:INDEX(C:C, ROW(C104)+SheetTable02[[#This Row],[Column1]]-1)))</f>
        <v/>
      </c>
    </row>
    <row r="105" spans="1:8" ht="72">
      <c r="A105" s="1" t="s">
        <v>79</v>
      </c>
      <c r="B105" s="1" t="s">
        <v>81</v>
      </c>
      <c r="C105" s="1" t="s">
        <v>614</v>
      </c>
      <c r="D105" s="1"/>
      <c r="E105" s="1"/>
      <c r="F105" s="1"/>
      <c r="G105" s="7">
        <f>COUNTIF(SheetTable02[Focal Document
Element],A105)</f>
        <v>20</v>
      </c>
      <c r="H105" s="7" t="str">
        <f>IF(A105=A104,"",_xlfn.TEXTJOIN(", ", TRUE, C105:INDEX(C:C, ROW(C105)+SheetTable02[[#This Row],[Column1]]-1)))</f>
        <v/>
      </c>
    </row>
    <row r="106" spans="1:8" ht="72">
      <c r="A106" s="1" t="s">
        <v>79</v>
      </c>
      <c r="B106" s="1" t="s">
        <v>81</v>
      </c>
      <c r="C106" s="1" t="s">
        <v>613</v>
      </c>
      <c r="D106" s="1"/>
      <c r="E106" s="1"/>
      <c r="F106" s="1"/>
      <c r="G106" s="7">
        <f>COUNTIF(SheetTable02[Focal Document
Element],A106)</f>
        <v>20</v>
      </c>
      <c r="H106" s="7" t="str">
        <f>IF(A106=A105,"",_xlfn.TEXTJOIN(", ", TRUE, C106:INDEX(C:C, ROW(C106)+SheetTable02[[#This Row],[Column1]]-1)))</f>
        <v/>
      </c>
    </row>
    <row r="107" spans="1:8" ht="72">
      <c r="A107" s="1" t="s">
        <v>79</v>
      </c>
      <c r="B107" s="1" t="s">
        <v>81</v>
      </c>
      <c r="C107" s="1" t="s">
        <v>612</v>
      </c>
      <c r="D107" s="1"/>
      <c r="E107" s="1"/>
      <c r="F107" s="1"/>
      <c r="G107" s="7">
        <f>COUNTIF(SheetTable02[Focal Document
Element],A107)</f>
        <v>20</v>
      </c>
      <c r="H107" s="7" t="str">
        <f>IF(A107=A106,"",_xlfn.TEXTJOIN(", ", TRUE, C107:INDEX(C:C, ROW(C107)+SheetTable02[[#This Row],[Column1]]-1)))</f>
        <v/>
      </c>
    </row>
    <row r="108" spans="1:8" ht="72">
      <c r="A108" s="1" t="s">
        <v>79</v>
      </c>
      <c r="B108" s="1" t="s">
        <v>81</v>
      </c>
      <c r="C108" s="1" t="s">
        <v>611</v>
      </c>
      <c r="D108" s="1"/>
      <c r="E108" s="1"/>
      <c r="F108" s="1"/>
      <c r="G108" s="7">
        <f>COUNTIF(SheetTable02[Focal Document
Element],A108)</f>
        <v>20</v>
      </c>
      <c r="H108" s="7" t="str">
        <f>IF(A108=A107,"",_xlfn.TEXTJOIN(", ", TRUE, C108:INDEX(C:C, ROW(C108)+SheetTable02[[#This Row],[Column1]]-1)))</f>
        <v/>
      </c>
    </row>
    <row r="109" spans="1:8" ht="72">
      <c r="A109" s="1" t="s">
        <v>83</v>
      </c>
      <c r="B109" s="1" t="s">
        <v>84</v>
      </c>
      <c r="C109" s="1" t="s">
        <v>596</v>
      </c>
      <c r="D109" s="1"/>
      <c r="E109" s="1"/>
      <c r="F109" s="1"/>
      <c r="G109" s="7">
        <f>COUNTIF(SheetTable02[Focal Document
Element],A109)</f>
        <v>20</v>
      </c>
      <c r="H109" s="7" t="str">
        <f>IF(A109=A108,"",_xlfn.TEXTJOIN(", ", TRUE, C109:INDEX(C:C, ROW(C109)+SheetTable02[[#This Row],[Column1]]-1)))</f>
        <v>AC-01
, AT-01, AU-01, CA-01, CM-01, CP-01, IA-01, IR-01, MA-01, MP-01, PE-01, PL-01, PM-01, PS-01, PT-01, RA-01, SA-01, SC-01, SI-01, SR-01</v>
      </c>
    </row>
    <row r="110" spans="1:8" ht="72">
      <c r="A110" s="1" t="s">
        <v>83</v>
      </c>
      <c r="B110" s="1" t="s">
        <v>84</v>
      </c>
      <c r="C110" s="1" t="s">
        <v>626</v>
      </c>
      <c r="D110" s="1"/>
      <c r="E110" s="1"/>
      <c r="F110" s="1"/>
      <c r="G110" s="7">
        <f>COUNTIF(SheetTable02[Focal Document
Element],A110)</f>
        <v>20</v>
      </c>
      <c r="H110" s="7" t="str">
        <f>IF(A110=A109,"",_xlfn.TEXTJOIN(", ", TRUE, C110:INDEX(C:C, ROW(C110)+SheetTable02[[#This Row],[Column1]]-1)))</f>
        <v/>
      </c>
    </row>
    <row r="111" spans="1:8" ht="72">
      <c r="A111" s="1" t="s">
        <v>83</v>
      </c>
      <c r="B111" s="1" t="s">
        <v>84</v>
      </c>
      <c r="C111" s="1" t="s">
        <v>625</v>
      </c>
      <c r="D111" s="1"/>
      <c r="E111" s="1"/>
      <c r="F111" s="1"/>
      <c r="G111" s="7">
        <f>COUNTIF(SheetTable02[Focal Document
Element],A111)</f>
        <v>20</v>
      </c>
      <c r="H111" s="7" t="str">
        <f>IF(A111=A110,"",_xlfn.TEXTJOIN(", ", TRUE, C111:INDEX(C:C, ROW(C111)+SheetTable02[[#This Row],[Column1]]-1)))</f>
        <v/>
      </c>
    </row>
    <row r="112" spans="1:8" ht="72">
      <c r="A112" s="1" t="s">
        <v>83</v>
      </c>
      <c r="B112" s="1" t="s">
        <v>84</v>
      </c>
      <c r="C112" s="1" t="s">
        <v>624</v>
      </c>
      <c r="D112" s="1"/>
      <c r="E112" s="1"/>
      <c r="F112" s="1"/>
      <c r="G112" s="7">
        <f>COUNTIF(SheetTable02[Focal Document
Element],A112)</f>
        <v>20</v>
      </c>
      <c r="H112" s="7" t="str">
        <f>IF(A112=A111,"",_xlfn.TEXTJOIN(", ", TRUE, C112:INDEX(C:C, ROW(C112)+SheetTable02[[#This Row],[Column1]]-1)))</f>
        <v/>
      </c>
    </row>
    <row r="113" spans="1:8" ht="72">
      <c r="A113" s="1" t="s">
        <v>83</v>
      </c>
      <c r="B113" s="1" t="s">
        <v>84</v>
      </c>
      <c r="C113" s="1" t="s">
        <v>541</v>
      </c>
      <c r="D113" s="1"/>
      <c r="E113" s="1"/>
      <c r="F113" s="1"/>
      <c r="G113" s="7">
        <f>COUNTIF(SheetTable02[Focal Document
Element],A113)</f>
        <v>20</v>
      </c>
      <c r="H113" s="7" t="str">
        <f>IF(A113=A112,"",_xlfn.TEXTJOIN(", ", TRUE, C113:INDEX(C:C, ROW(C113)+SheetTable02[[#This Row],[Column1]]-1)))</f>
        <v/>
      </c>
    </row>
    <row r="114" spans="1:8" ht="72">
      <c r="A114" s="1" t="s">
        <v>83</v>
      </c>
      <c r="B114" s="1" t="s">
        <v>84</v>
      </c>
      <c r="C114" s="1" t="s">
        <v>623</v>
      </c>
      <c r="D114" s="1"/>
      <c r="E114" s="1"/>
      <c r="F114" s="1"/>
      <c r="G114" s="7">
        <f>COUNTIF(SheetTable02[Focal Document
Element],A114)</f>
        <v>20</v>
      </c>
      <c r="H114" s="7" t="str">
        <f>IF(A114=A113,"",_xlfn.TEXTJOIN(", ", TRUE, C114:INDEX(C:C, ROW(C114)+SheetTable02[[#This Row],[Column1]]-1)))</f>
        <v/>
      </c>
    </row>
    <row r="115" spans="1:8" ht="72">
      <c r="A115" s="1" t="s">
        <v>83</v>
      </c>
      <c r="B115" s="1" t="s">
        <v>84</v>
      </c>
      <c r="C115" s="1" t="s">
        <v>594</v>
      </c>
      <c r="D115" s="1"/>
      <c r="E115" s="1"/>
      <c r="F115" s="1"/>
      <c r="G115" s="7">
        <f>COUNTIF(SheetTable02[Focal Document
Element],A115)</f>
        <v>20</v>
      </c>
      <c r="H115" s="7" t="str">
        <f>IF(A115=A114,"",_xlfn.TEXTJOIN(", ", TRUE, C115:INDEX(C:C, ROW(C115)+SheetTable02[[#This Row],[Column1]]-1)))</f>
        <v/>
      </c>
    </row>
    <row r="116" spans="1:8" ht="72">
      <c r="A116" s="1" t="s">
        <v>83</v>
      </c>
      <c r="B116" s="1" t="s">
        <v>84</v>
      </c>
      <c r="C116" s="1" t="s">
        <v>424</v>
      </c>
      <c r="D116" s="1"/>
      <c r="E116" s="1"/>
      <c r="F116" s="1"/>
      <c r="G116" s="7">
        <f>COUNTIF(SheetTable02[Focal Document
Element],A116)</f>
        <v>20</v>
      </c>
      <c r="H116" s="7" t="str">
        <f>IF(A116=A115,"",_xlfn.TEXTJOIN(", ", TRUE, C116:INDEX(C:C, ROW(C116)+SheetTable02[[#This Row],[Column1]]-1)))</f>
        <v/>
      </c>
    </row>
    <row r="117" spans="1:8" ht="72">
      <c r="A117" s="1" t="s">
        <v>83</v>
      </c>
      <c r="B117" s="1" t="s">
        <v>84</v>
      </c>
      <c r="C117" s="1" t="s">
        <v>622</v>
      </c>
      <c r="D117" s="1"/>
      <c r="E117" s="1"/>
      <c r="F117" s="1"/>
      <c r="G117" s="7">
        <f>COUNTIF(SheetTable02[Focal Document
Element],A117)</f>
        <v>20</v>
      </c>
      <c r="H117" s="7" t="str">
        <f>IF(A117=A116,"",_xlfn.TEXTJOIN(", ", TRUE, C117:INDEX(C:C, ROW(C117)+SheetTable02[[#This Row],[Column1]]-1)))</f>
        <v/>
      </c>
    </row>
    <row r="118" spans="1:8" ht="72">
      <c r="A118" s="1" t="s">
        <v>83</v>
      </c>
      <c r="B118" s="1" t="s">
        <v>84</v>
      </c>
      <c r="C118" s="1" t="s">
        <v>621</v>
      </c>
      <c r="D118" s="1"/>
      <c r="E118" s="1"/>
      <c r="F118" s="1"/>
      <c r="G118" s="7">
        <f>COUNTIF(SheetTable02[Focal Document
Element],A118)</f>
        <v>20</v>
      </c>
      <c r="H118" s="7" t="str">
        <f>IF(A118=A117,"",_xlfn.TEXTJOIN(", ", TRUE, C118:INDEX(C:C, ROW(C118)+SheetTable02[[#This Row],[Column1]]-1)))</f>
        <v/>
      </c>
    </row>
    <row r="119" spans="1:8" ht="72">
      <c r="A119" s="1" t="s">
        <v>83</v>
      </c>
      <c r="B119" s="1" t="s">
        <v>84</v>
      </c>
      <c r="C119" s="1" t="s">
        <v>620</v>
      </c>
      <c r="D119" s="1"/>
      <c r="E119" s="1"/>
      <c r="F119" s="1"/>
      <c r="G119" s="7">
        <f>COUNTIF(SheetTable02[Focal Document
Element],A119)</f>
        <v>20</v>
      </c>
      <c r="H119" s="7" t="str">
        <f>IF(A119=A118,"",_xlfn.TEXTJOIN(", ", TRUE, C119:INDEX(C:C, ROW(C119)+SheetTable02[[#This Row],[Column1]]-1)))</f>
        <v/>
      </c>
    </row>
    <row r="120" spans="1:8" ht="72">
      <c r="A120" s="1" t="s">
        <v>83</v>
      </c>
      <c r="B120" s="1" t="s">
        <v>84</v>
      </c>
      <c r="C120" s="1" t="s">
        <v>619</v>
      </c>
      <c r="D120" s="1"/>
      <c r="E120" s="1"/>
      <c r="F120" s="1"/>
      <c r="G120" s="7">
        <f>COUNTIF(SheetTable02[Focal Document
Element],A120)</f>
        <v>20</v>
      </c>
      <c r="H120" s="7" t="str">
        <f>IF(A120=A119,"",_xlfn.TEXTJOIN(", ", TRUE, C120:INDEX(C:C, ROW(C120)+SheetTable02[[#This Row],[Column1]]-1)))</f>
        <v/>
      </c>
    </row>
    <row r="121" spans="1:8" ht="72">
      <c r="A121" s="1" t="s">
        <v>83</v>
      </c>
      <c r="B121" s="1" t="s">
        <v>84</v>
      </c>
      <c r="C121" s="1" t="s">
        <v>618</v>
      </c>
      <c r="D121" s="1"/>
      <c r="E121" s="1"/>
      <c r="F121" s="1"/>
      <c r="G121" s="7">
        <f>COUNTIF(SheetTable02[Focal Document
Element],A121)</f>
        <v>20</v>
      </c>
      <c r="H121" s="7" t="str">
        <f>IF(A121=A120,"",_xlfn.TEXTJOIN(", ", TRUE, C121:INDEX(C:C, ROW(C121)+SheetTable02[[#This Row],[Column1]]-1)))</f>
        <v/>
      </c>
    </row>
    <row r="122" spans="1:8" ht="72">
      <c r="A122" s="1" t="s">
        <v>83</v>
      </c>
      <c r="B122" s="1" t="s">
        <v>84</v>
      </c>
      <c r="C122" s="1" t="s">
        <v>617</v>
      </c>
      <c r="D122" s="1"/>
      <c r="E122" s="1"/>
      <c r="F122" s="1"/>
      <c r="G122" s="7">
        <f>COUNTIF(SheetTable02[Focal Document
Element],A122)</f>
        <v>20</v>
      </c>
      <c r="H122" s="7" t="str">
        <f>IF(A122=A121,"",_xlfn.TEXTJOIN(", ", TRUE, C122:INDEX(C:C, ROW(C122)+SheetTable02[[#This Row],[Column1]]-1)))</f>
        <v/>
      </c>
    </row>
    <row r="123" spans="1:8" ht="72">
      <c r="A123" s="1" t="s">
        <v>83</v>
      </c>
      <c r="B123" s="1" t="s">
        <v>84</v>
      </c>
      <c r="C123" s="1" t="s">
        <v>616</v>
      </c>
      <c r="D123" s="1"/>
      <c r="E123" s="1"/>
      <c r="F123" s="1"/>
      <c r="G123" s="7">
        <f>COUNTIF(SheetTable02[Focal Document
Element],A123)</f>
        <v>20</v>
      </c>
      <c r="H123" s="7" t="str">
        <f>IF(A123=A122,"",_xlfn.TEXTJOIN(", ", TRUE, C123:INDEX(C:C, ROW(C123)+SheetTable02[[#This Row],[Column1]]-1)))</f>
        <v/>
      </c>
    </row>
    <row r="124" spans="1:8" ht="72">
      <c r="A124" s="1" t="s">
        <v>83</v>
      </c>
      <c r="B124" s="1" t="s">
        <v>84</v>
      </c>
      <c r="C124" s="1" t="s">
        <v>615</v>
      </c>
      <c r="D124" s="1"/>
      <c r="E124" s="1"/>
      <c r="F124" s="1"/>
      <c r="G124" s="7">
        <f>COUNTIF(SheetTable02[Focal Document
Element],A124)</f>
        <v>20</v>
      </c>
      <c r="H124" s="7" t="str">
        <f>IF(A124=A123,"",_xlfn.TEXTJOIN(", ", TRUE, C124:INDEX(C:C, ROW(C124)+SheetTable02[[#This Row],[Column1]]-1)))</f>
        <v/>
      </c>
    </row>
    <row r="125" spans="1:8" ht="72">
      <c r="A125" s="1" t="s">
        <v>83</v>
      </c>
      <c r="B125" s="1" t="s">
        <v>84</v>
      </c>
      <c r="C125" s="1" t="s">
        <v>614</v>
      </c>
      <c r="D125" s="1"/>
      <c r="E125" s="1"/>
      <c r="F125" s="1"/>
      <c r="G125" s="7">
        <f>COUNTIF(SheetTable02[Focal Document
Element],A125)</f>
        <v>20</v>
      </c>
      <c r="H125" s="7" t="str">
        <f>IF(A125=A124,"",_xlfn.TEXTJOIN(", ", TRUE, C125:INDEX(C:C, ROW(C125)+SheetTable02[[#This Row],[Column1]]-1)))</f>
        <v/>
      </c>
    </row>
    <row r="126" spans="1:8" ht="72">
      <c r="A126" s="1" t="s">
        <v>83</v>
      </c>
      <c r="B126" s="1" t="s">
        <v>84</v>
      </c>
      <c r="C126" s="1" t="s">
        <v>613</v>
      </c>
      <c r="D126" s="1"/>
      <c r="E126" s="1"/>
      <c r="F126" s="1"/>
      <c r="G126" s="7">
        <f>COUNTIF(SheetTable02[Focal Document
Element],A126)</f>
        <v>20</v>
      </c>
      <c r="H126" s="7" t="str">
        <f>IF(A126=A125,"",_xlfn.TEXTJOIN(", ", TRUE, C126:INDEX(C:C, ROW(C126)+SheetTable02[[#This Row],[Column1]]-1)))</f>
        <v/>
      </c>
    </row>
    <row r="127" spans="1:8" ht="72">
      <c r="A127" s="1" t="s">
        <v>83</v>
      </c>
      <c r="B127" s="1" t="s">
        <v>84</v>
      </c>
      <c r="C127" s="1" t="s">
        <v>612</v>
      </c>
      <c r="D127" s="1"/>
      <c r="E127" s="1"/>
      <c r="F127" s="1"/>
      <c r="G127" s="7">
        <f>COUNTIF(SheetTable02[Focal Document
Element],A127)</f>
        <v>20</v>
      </c>
      <c r="H127" s="7" t="str">
        <f>IF(A127=A126,"",_xlfn.TEXTJOIN(", ", TRUE, C127:INDEX(C:C, ROW(C127)+SheetTable02[[#This Row],[Column1]]-1)))</f>
        <v/>
      </c>
    </row>
    <row r="128" spans="1:8" ht="72">
      <c r="A128" s="1" t="s">
        <v>83</v>
      </c>
      <c r="B128" s="1" t="s">
        <v>84</v>
      </c>
      <c r="C128" s="1" t="s">
        <v>611</v>
      </c>
      <c r="D128" s="1"/>
      <c r="E128" s="1"/>
      <c r="F128" s="1"/>
      <c r="G128" s="7">
        <f>COUNTIF(SheetTable02[Focal Document
Element],A128)</f>
        <v>20</v>
      </c>
      <c r="H128" s="7" t="str">
        <f>IF(A128=A127,"",_xlfn.TEXTJOIN(", ", TRUE, C128:INDEX(C:C, ROW(C128)+SheetTable02[[#This Row],[Column1]]-1)))</f>
        <v/>
      </c>
    </row>
    <row r="129" spans="1:8" ht="72">
      <c r="A129" s="1" t="s">
        <v>681</v>
      </c>
      <c r="B129" s="1" t="s">
        <v>680</v>
      </c>
      <c r="C129" s="1"/>
      <c r="D129" s="1"/>
      <c r="E129" s="1"/>
      <c r="F129" s="1"/>
      <c r="G129" s="7">
        <f>COUNTIF(SheetTable02[Focal Document
Element],A129)</f>
        <v>1</v>
      </c>
      <c r="H129" s="7" t="str">
        <f>IF(A129=A128,"",_xlfn.TEXTJOIN(", ", TRUE, C129:INDEX(C:C, ROW(C129)+SheetTable02[[#This Row],[Column1]]-1)))</f>
        <v/>
      </c>
    </row>
    <row r="130" spans="1:8" ht="43.2">
      <c r="A130" s="1" t="s">
        <v>86</v>
      </c>
      <c r="B130" s="1" t="s">
        <v>87</v>
      </c>
      <c r="C130" s="1" t="s">
        <v>596</v>
      </c>
      <c r="D130" s="1"/>
      <c r="E130" s="1"/>
      <c r="F130" s="1"/>
      <c r="G130" s="7">
        <f>COUNTIF(SheetTable02[Focal Document
Element],A130)</f>
        <v>26</v>
      </c>
      <c r="H130" s="7" t="str">
        <f>IF(A130=A129,"",_xlfn.TEXTJOIN(", ", TRUE, C130:INDEX(C:C, ROW(C130)+SheetTable02[[#This Row],[Column1]]-1)))</f>
        <v>AC-01
, AT-01, AU-01, CA-01, CM-01, CP-01, IA-01, IR-01, MA-01, MP-01, PE-01, PL-01, PM-01, PS-01, PT-01, RA-01, SA-01, SC-01, SI-01, SR-01, PM-09, PM-18, PM-30, PM-31, RA-07, SR-06</v>
      </c>
    </row>
    <row r="131" spans="1:8" ht="43.2">
      <c r="A131" s="1" t="s">
        <v>86</v>
      </c>
      <c r="B131" s="1" t="s">
        <v>87</v>
      </c>
      <c r="C131" s="1" t="s">
        <v>626</v>
      </c>
      <c r="D131" s="1"/>
      <c r="E131" s="1"/>
      <c r="F131" s="1"/>
      <c r="G131" s="7">
        <f>COUNTIF(SheetTable02[Focal Document
Element],A131)</f>
        <v>26</v>
      </c>
      <c r="H131" s="7" t="str">
        <f>IF(A131=A130,"",_xlfn.TEXTJOIN(", ", TRUE, C131:INDEX(C:C, ROW(C131)+SheetTable02[[#This Row],[Column1]]-1)))</f>
        <v/>
      </c>
    </row>
    <row r="132" spans="1:8" ht="43.2">
      <c r="A132" s="1" t="s">
        <v>86</v>
      </c>
      <c r="B132" s="1" t="s">
        <v>87</v>
      </c>
      <c r="C132" s="1" t="s">
        <v>625</v>
      </c>
      <c r="D132" s="1"/>
      <c r="E132" s="1"/>
      <c r="F132" s="1"/>
      <c r="G132" s="7">
        <f>COUNTIF(SheetTable02[Focal Document
Element],A132)</f>
        <v>26</v>
      </c>
      <c r="H132" s="7" t="str">
        <f>IF(A132=A131,"",_xlfn.TEXTJOIN(", ", TRUE, C132:INDEX(C:C, ROW(C132)+SheetTable02[[#This Row],[Column1]]-1)))</f>
        <v/>
      </c>
    </row>
    <row r="133" spans="1:8" ht="43.2">
      <c r="A133" s="1" t="s">
        <v>86</v>
      </c>
      <c r="B133" s="1" t="s">
        <v>87</v>
      </c>
      <c r="C133" s="1" t="s">
        <v>624</v>
      </c>
      <c r="D133" s="1"/>
      <c r="E133" s="1"/>
      <c r="F133" s="1"/>
      <c r="G133" s="7">
        <f>COUNTIF(SheetTable02[Focal Document
Element],A133)</f>
        <v>26</v>
      </c>
      <c r="H133" s="7" t="str">
        <f>IF(A133=A132,"",_xlfn.TEXTJOIN(", ", TRUE, C133:INDEX(C:C, ROW(C133)+SheetTable02[[#This Row],[Column1]]-1)))</f>
        <v/>
      </c>
    </row>
    <row r="134" spans="1:8" ht="43.2">
      <c r="A134" s="1" t="s">
        <v>86</v>
      </c>
      <c r="B134" s="1" t="s">
        <v>87</v>
      </c>
      <c r="C134" s="1" t="s">
        <v>541</v>
      </c>
      <c r="D134" s="1"/>
      <c r="E134" s="1"/>
      <c r="F134" s="1"/>
      <c r="G134" s="7">
        <f>COUNTIF(SheetTable02[Focal Document
Element],A134)</f>
        <v>26</v>
      </c>
      <c r="H134" s="7" t="str">
        <f>IF(A134=A133,"",_xlfn.TEXTJOIN(", ", TRUE, C134:INDEX(C:C, ROW(C134)+SheetTable02[[#This Row],[Column1]]-1)))</f>
        <v/>
      </c>
    </row>
    <row r="135" spans="1:8" ht="43.2">
      <c r="A135" s="1" t="s">
        <v>86</v>
      </c>
      <c r="B135" s="1" t="s">
        <v>87</v>
      </c>
      <c r="C135" s="1" t="s">
        <v>623</v>
      </c>
      <c r="D135" s="1"/>
      <c r="E135" s="1"/>
      <c r="F135" s="1"/>
      <c r="G135" s="7">
        <f>COUNTIF(SheetTable02[Focal Document
Element],A135)</f>
        <v>26</v>
      </c>
      <c r="H135" s="7" t="str">
        <f>IF(A135=A134,"",_xlfn.TEXTJOIN(", ", TRUE, C135:INDEX(C:C, ROW(C135)+SheetTable02[[#This Row],[Column1]]-1)))</f>
        <v/>
      </c>
    </row>
    <row r="136" spans="1:8" ht="43.2">
      <c r="A136" s="1" t="s">
        <v>86</v>
      </c>
      <c r="B136" s="1" t="s">
        <v>87</v>
      </c>
      <c r="C136" s="1" t="s">
        <v>594</v>
      </c>
      <c r="D136" s="1"/>
      <c r="E136" s="1"/>
      <c r="F136" s="1"/>
      <c r="G136" s="7">
        <f>COUNTIF(SheetTable02[Focal Document
Element],A136)</f>
        <v>26</v>
      </c>
      <c r="H136" s="7" t="str">
        <f>IF(A136=A135,"",_xlfn.TEXTJOIN(", ", TRUE, C136:INDEX(C:C, ROW(C136)+SheetTable02[[#This Row],[Column1]]-1)))</f>
        <v/>
      </c>
    </row>
    <row r="137" spans="1:8" ht="43.2">
      <c r="A137" s="1" t="s">
        <v>86</v>
      </c>
      <c r="B137" s="1" t="s">
        <v>87</v>
      </c>
      <c r="C137" s="1" t="s">
        <v>424</v>
      </c>
      <c r="D137" s="1"/>
      <c r="E137" s="1"/>
      <c r="F137" s="1"/>
      <c r="G137" s="7">
        <f>COUNTIF(SheetTable02[Focal Document
Element],A137)</f>
        <v>26</v>
      </c>
      <c r="H137" s="7" t="str">
        <f>IF(A137=A136,"",_xlfn.TEXTJOIN(", ", TRUE, C137:INDEX(C:C, ROW(C137)+SheetTable02[[#This Row],[Column1]]-1)))</f>
        <v/>
      </c>
    </row>
    <row r="138" spans="1:8" ht="43.2">
      <c r="A138" s="1" t="s">
        <v>86</v>
      </c>
      <c r="B138" s="1" t="s">
        <v>87</v>
      </c>
      <c r="C138" s="1" t="s">
        <v>622</v>
      </c>
      <c r="D138" s="1"/>
      <c r="E138" s="1"/>
      <c r="F138" s="1"/>
      <c r="G138" s="7">
        <f>COUNTIF(SheetTable02[Focal Document
Element],A138)</f>
        <v>26</v>
      </c>
      <c r="H138" s="7" t="str">
        <f>IF(A138=A137,"",_xlfn.TEXTJOIN(", ", TRUE, C138:INDEX(C:C, ROW(C138)+SheetTable02[[#This Row],[Column1]]-1)))</f>
        <v/>
      </c>
    </row>
    <row r="139" spans="1:8" ht="43.2">
      <c r="A139" s="1" t="s">
        <v>86</v>
      </c>
      <c r="B139" s="1" t="s">
        <v>87</v>
      </c>
      <c r="C139" s="1" t="s">
        <v>621</v>
      </c>
      <c r="D139" s="1"/>
      <c r="E139" s="1"/>
      <c r="F139" s="1"/>
      <c r="G139" s="7">
        <f>COUNTIF(SheetTable02[Focal Document
Element],A139)</f>
        <v>26</v>
      </c>
      <c r="H139" s="7" t="str">
        <f>IF(A139=A138,"",_xlfn.TEXTJOIN(", ", TRUE, C139:INDEX(C:C, ROW(C139)+SheetTable02[[#This Row],[Column1]]-1)))</f>
        <v/>
      </c>
    </row>
    <row r="140" spans="1:8" ht="43.2">
      <c r="A140" s="1" t="s">
        <v>86</v>
      </c>
      <c r="B140" s="1" t="s">
        <v>87</v>
      </c>
      <c r="C140" s="1" t="s">
        <v>620</v>
      </c>
      <c r="D140" s="1"/>
      <c r="E140" s="1"/>
      <c r="F140" s="1"/>
      <c r="G140" s="7">
        <f>COUNTIF(SheetTable02[Focal Document
Element],A140)</f>
        <v>26</v>
      </c>
      <c r="H140" s="7" t="str">
        <f>IF(A140=A139,"",_xlfn.TEXTJOIN(", ", TRUE, C140:INDEX(C:C, ROW(C140)+SheetTable02[[#This Row],[Column1]]-1)))</f>
        <v/>
      </c>
    </row>
    <row r="141" spans="1:8" ht="43.2">
      <c r="A141" s="1" t="s">
        <v>86</v>
      </c>
      <c r="B141" s="1" t="s">
        <v>87</v>
      </c>
      <c r="C141" s="1" t="s">
        <v>619</v>
      </c>
      <c r="D141" s="1"/>
      <c r="E141" s="1"/>
      <c r="F141" s="1"/>
      <c r="G141" s="7">
        <f>COUNTIF(SheetTable02[Focal Document
Element],A141)</f>
        <v>26</v>
      </c>
      <c r="H141" s="7" t="str">
        <f>IF(A141=A140,"",_xlfn.TEXTJOIN(", ", TRUE, C141:INDEX(C:C, ROW(C141)+SheetTable02[[#This Row],[Column1]]-1)))</f>
        <v/>
      </c>
    </row>
    <row r="142" spans="1:8" ht="43.2">
      <c r="A142" s="1" t="s">
        <v>86</v>
      </c>
      <c r="B142" s="1" t="s">
        <v>87</v>
      </c>
      <c r="C142" s="1" t="s">
        <v>618</v>
      </c>
      <c r="D142" s="1"/>
      <c r="E142" s="1"/>
      <c r="F142" s="1"/>
      <c r="G142" s="7">
        <f>COUNTIF(SheetTable02[Focal Document
Element],A142)</f>
        <v>26</v>
      </c>
      <c r="H142" s="7" t="str">
        <f>IF(A142=A141,"",_xlfn.TEXTJOIN(", ", TRUE, C142:INDEX(C:C, ROW(C142)+SheetTable02[[#This Row],[Column1]]-1)))</f>
        <v/>
      </c>
    </row>
    <row r="143" spans="1:8" ht="43.2">
      <c r="A143" s="1" t="s">
        <v>86</v>
      </c>
      <c r="B143" s="1" t="s">
        <v>87</v>
      </c>
      <c r="C143" s="1" t="s">
        <v>617</v>
      </c>
      <c r="D143" s="1"/>
      <c r="E143" s="1"/>
      <c r="F143" s="1"/>
      <c r="G143" s="7">
        <f>COUNTIF(SheetTable02[Focal Document
Element],A143)</f>
        <v>26</v>
      </c>
      <c r="H143" s="7" t="str">
        <f>IF(A143=A142,"",_xlfn.TEXTJOIN(", ", TRUE, C143:INDEX(C:C, ROW(C143)+SheetTable02[[#This Row],[Column1]]-1)))</f>
        <v/>
      </c>
    </row>
    <row r="144" spans="1:8" ht="43.2">
      <c r="A144" s="1" t="s">
        <v>86</v>
      </c>
      <c r="B144" s="1" t="s">
        <v>87</v>
      </c>
      <c r="C144" s="1" t="s">
        <v>616</v>
      </c>
      <c r="D144" s="1"/>
      <c r="E144" s="1"/>
      <c r="F144" s="1"/>
      <c r="G144" s="7">
        <f>COUNTIF(SheetTable02[Focal Document
Element],A144)</f>
        <v>26</v>
      </c>
      <c r="H144" s="7" t="str">
        <f>IF(A144=A143,"",_xlfn.TEXTJOIN(", ", TRUE, C144:INDEX(C:C, ROW(C144)+SheetTable02[[#This Row],[Column1]]-1)))</f>
        <v/>
      </c>
    </row>
    <row r="145" spans="1:8" ht="43.2">
      <c r="A145" s="1" t="s">
        <v>86</v>
      </c>
      <c r="B145" s="1" t="s">
        <v>87</v>
      </c>
      <c r="C145" s="1" t="s">
        <v>615</v>
      </c>
      <c r="D145" s="1"/>
      <c r="E145" s="1"/>
      <c r="F145" s="1"/>
      <c r="G145" s="7">
        <f>COUNTIF(SheetTable02[Focal Document
Element],A145)</f>
        <v>26</v>
      </c>
      <c r="H145" s="7" t="str">
        <f>IF(A145=A144,"",_xlfn.TEXTJOIN(", ", TRUE, C145:INDEX(C:C, ROW(C145)+SheetTable02[[#This Row],[Column1]]-1)))</f>
        <v/>
      </c>
    </row>
    <row r="146" spans="1:8" ht="43.2">
      <c r="A146" s="1" t="s">
        <v>86</v>
      </c>
      <c r="B146" s="1" t="s">
        <v>87</v>
      </c>
      <c r="C146" s="1" t="s">
        <v>614</v>
      </c>
      <c r="D146" s="1"/>
      <c r="E146" s="1"/>
      <c r="F146" s="1"/>
      <c r="G146" s="7">
        <f>COUNTIF(SheetTable02[Focal Document
Element],A146)</f>
        <v>26</v>
      </c>
      <c r="H146" s="7" t="str">
        <f>IF(A146=A145,"",_xlfn.TEXTJOIN(", ", TRUE, C146:INDEX(C:C, ROW(C146)+SheetTable02[[#This Row],[Column1]]-1)))</f>
        <v/>
      </c>
    </row>
    <row r="147" spans="1:8" ht="43.2">
      <c r="A147" s="1" t="s">
        <v>86</v>
      </c>
      <c r="B147" s="1" t="s">
        <v>87</v>
      </c>
      <c r="C147" s="1" t="s">
        <v>613</v>
      </c>
      <c r="D147" s="1"/>
      <c r="E147" s="1"/>
      <c r="F147" s="1"/>
      <c r="G147" s="7">
        <f>COUNTIF(SheetTable02[Focal Document
Element],A147)</f>
        <v>26</v>
      </c>
      <c r="H147" s="7" t="str">
        <f>IF(A147=A146,"",_xlfn.TEXTJOIN(", ", TRUE, C147:INDEX(C:C, ROW(C147)+SheetTable02[[#This Row],[Column1]]-1)))</f>
        <v/>
      </c>
    </row>
    <row r="148" spans="1:8" ht="43.2">
      <c r="A148" s="1" t="s">
        <v>86</v>
      </c>
      <c r="B148" s="1" t="s">
        <v>87</v>
      </c>
      <c r="C148" s="1" t="s">
        <v>612</v>
      </c>
      <c r="D148" s="1"/>
      <c r="E148" s="1"/>
      <c r="F148" s="1"/>
      <c r="G148" s="7">
        <f>COUNTIF(SheetTable02[Focal Document
Element],A148)</f>
        <v>26</v>
      </c>
      <c r="H148" s="7" t="str">
        <f>IF(A148=A147,"",_xlfn.TEXTJOIN(", ", TRUE, C148:INDEX(C:C, ROW(C148)+SheetTable02[[#This Row],[Column1]]-1)))</f>
        <v/>
      </c>
    </row>
    <row r="149" spans="1:8" ht="43.2">
      <c r="A149" s="1" t="s">
        <v>86</v>
      </c>
      <c r="B149" s="1" t="s">
        <v>87</v>
      </c>
      <c r="C149" s="1" t="s">
        <v>611</v>
      </c>
      <c r="D149" s="1"/>
      <c r="E149" s="1"/>
      <c r="F149" s="1"/>
      <c r="G149" s="7">
        <f>COUNTIF(SheetTable02[Focal Document
Element],A149)</f>
        <v>26</v>
      </c>
      <c r="H149" s="7" t="str">
        <f>IF(A149=A148,"",_xlfn.TEXTJOIN(", ", TRUE, C149:INDEX(C:C, ROW(C149)+SheetTable02[[#This Row],[Column1]]-1)))</f>
        <v/>
      </c>
    </row>
    <row r="150" spans="1:8" ht="43.2">
      <c r="A150" s="1" t="s">
        <v>86</v>
      </c>
      <c r="B150" s="1" t="s">
        <v>87</v>
      </c>
      <c r="C150" s="1" t="s">
        <v>426</v>
      </c>
      <c r="D150" s="1"/>
      <c r="E150" s="1"/>
      <c r="F150" s="1"/>
      <c r="G150" s="7">
        <f>COUNTIF(SheetTable02[Focal Document
Element],A150)</f>
        <v>26</v>
      </c>
      <c r="H150" s="7" t="str">
        <f>IF(A150=A149,"",_xlfn.TEXTJOIN(", ", TRUE, C150:INDEX(C:C, ROW(C150)+SheetTable02[[#This Row],[Column1]]-1)))</f>
        <v/>
      </c>
    </row>
    <row r="151" spans="1:8" ht="43.2">
      <c r="A151" s="1" t="s">
        <v>86</v>
      </c>
      <c r="B151" s="1" t="s">
        <v>87</v>
      </c>
      <c r="C151" s="1" t="s">
        <v>460</v>
      </c>
      <c r="D151" s="1"/>
      <c r="E151" s="1"/>
      <c r="F151" s="1"/>
      <c r="G151" s="7">
        <f>COUNTIF(SheetTable02[Focal Document
Element],A151)</f>
        <v>26</v>
      </c>
      <c r="H151" s="7" t="str">
        <f>IF(A151=A150,"",_xlfn.TEXTJOIN(", ", TRUE, C151:INDEX(C:C, ROW(C151)+SheetTable02[[#This Row],[Column1]]-1)))</f>
        <v/>
      </c>
    </row>
    <row r="152" spans="1:8" ht="43.2">
      <c r="A152" s="1" t="s">
        <v>86</v>
      </c>
      <c r="B152" s="1" t="s">
        <v>87</v>
      </c>
      <c r="C152" s="1" t="s">
        <v>458</v>
      </c>
      <c r="D152" s="1"/>
      <c r="E152" s="1"/>
      <c r="F152" s="1"/>
      <c r="G152" s="7">
        <f>COUNTIF(SheetTable02[Focal Document
Element],A152)</f>
        <v>26</v>
      </c>
      <c r="H152" s="7" t="str">
        <f>IF(A152=A151,"",_xlfn.TEXTJOIN(", ", TRUE, C152:INDEX(C:C, ROW(C152)+SheetTable02[[#This Row],[Column1]]-1)))</f>
        <v/>
      </c>
    </row>
    <row r="153" spans="1:8" ht="43.2">
      <c r="A153" s="1" t="s">
        <v>86</v>
      </c>
      <c r="B153" s="1" t="s">
        <v>87</v>
      </c>
      <c r="C153" s="1" t="s">
        <v>606</v>
      </c>
      <c r="D153" s="1"/>
      <c r="E153" s="1"/>
      <c r="F153" s="1"/>
      <c r="G153" s="7">
        <f>COUNTIF(SheetTable02[Focal Document
Element],A153)</f>
        <v>26</v>
      </c>
      <c r="H153" s="7" t="str">
        <f>IF(A153=A152,"",_xlfn.TEXTJOIN(", ", TRUE, C153:INDEX(C:C, ROW(C153)+SheetTable02[[#This Row],[Column1]]-1)))</f>
        <v/>
      </c>
    </row>
    <row r="154" spans="1:8" ht="43.2">
      <c r="A154" s="1" t="s">
        <v>86</v>
      </c>
      <c r="B154" s="1" t="s">
        <v>87</v>
      </c>
      <c r="C154" s="1" t="s">
        <v>441</v>
      </c>
      <c r="D154" s="1"/>
      <c r="E154" s="1"/>
      <c r="F154" s="1"/>
      <c r="G154" s="7">
        <f>COUNTIF(SheetTable02[Focal Document
Element],A154)</f>
        <v>26</v>
      </c>
      <c r="H154" s="7" t="str">
        <f>IF(A154=A153,"",_xlfn.TEXTJOIN(", ", TRUE, C154:INDEX(C:C, ROW(C154)+SheetTable02[[#This Row],[Column1]]-1)))</f>
        <v/>
      </c>
    </row>
    <row r="155" spans="1:8" ht="43.2">
      <c r="A155" s="1" t="s">
        <v>86</v>
      </c>
      <c r="B155" s="1" t="s">
        <v>87</v>
      </c>
      <c r="C155" s="1" t="s">
        <v>631</v>
      </c>
      <c r="D155" s="1"/>
      <c r="E155" s="1"/>
      <c r="F155" s="1"/>
      <c r="G155" s="7">
        <f>COUNTIF(SheetTable02[Focal Document
Element],A155)</f>
        <v>26</v>
      </c>
      <c r="H155" s="7" t="str">
        <f>IF(A155=A154,"",_xlfn.TEXTJOIN(", ", TRUE, C155:INDEX(C:C, ROW(C155)+SheetTable02[[#This Row],[Column1]]-1)))</f>
        <v/>
      </c>
    </row>
    <row r="156" spans="1:8" ht="57.6">
      <c r="A156" s="1" t="s">
        <v>89</v>
      </c>
      <c r="B156" s="1" t="s">
        <v>90</v>
      </c>
      <c r="C156" s="1" t="s">
        <v>426</v>
      </c>
      <c r="D156" s="1"/>
      <c r="E156" s="1"/>
      <c r="F156" s="1"/>
      <c r="G156" s="7">
        <f>COUNTIF(SheetTable02[Focal Document
Element],A156)</f>
        <v>6</v>
      </c>
      <c r="H156" s="7" t="str">
        <f>IF(A156=A155,"",_xlfn.TEXTJOIN(", ", TRUE, C156:INDEX(C:C, ROW(C156)+SheetTable02[[#This Row],[Column1]]-1)))</f>
        <v>PM-09, PM-19, PM-30, PM-31, RA-07, SR-06</v>
      </c>
    </row>
    <row r="157" spans="1:8" ht="57.6">
      <c r="A157" s="1" t="s">
        <v>89</v>
      </c>
      <c r="B157" s="1" t="s">
        <v>90</v>
      </c>
      <c r="C157" s="1" t="s">
        <v>672</v>
      </c>
      <c r="D157" s="1"/>
      <c r="E157" s="1"/>
      <c r="F157" s="1"/>
      <c r="G157" s="7">
        <f>COUNTIF(SheetTable02[Focal Document
Element],A157)</f>
        <v>6</v>
      </c>
      <c r="H157" s="7" t="str">
        <f>IF(A157=A156,"",_xlfn.TEXTJOIN(", ", TRUE, C157:INDEX(C:C, ROW(C157)+SheetTable02[[#This Row],[Column1]]-1)))</f>
        <v/>
      </c>
    </row>
    <row r="158" spans="1:8" ht="57.6">
      <c r="A158" s="1" t="s">
        <v>89</v>
      </c>
      <c r="B158" s="1" t="s">
        <v>90</v>
      </c>
      <c r="C158" s="1" t="s">
        <v>458</v>
      </c>
      <c r="D158" s="1"/>
      <c r="E158" s="1"/>
      <c r="F158" s="1"/>
      <c r="G158" s="7">
        <f>COUNTIF(SheetTable02[Focal Document
Element],A158)</f>
        <v>6</v>
      </c>
      <c r="H158" s="7" t="str">
        <f>IF(A158=A157,"",_xlfn.TEXTJOIN(", ", TRUE, C158:INDEX(C:C, ROW(C158)+SheetTable02[[#This Row],[Column1]]-1)))</f>
        <v/>
      </c>
    </row>
    <row r="159" spans="1:8" ht="57.6">
      <c r="A159" s="1" t="s">
        <v>89</v>
      </c>
      <c r="B159" s="1" t="s">
        <v>90</v>
      </c>
      <c r="C159" s="1" t="s">
        <v>606</v>
      </c>
      <c r="D159" s="1"/>
      <c r="E159" s="1"/>
      <c r="F159" s="1"/>
      <c r="G159" s="7">
        <f>COUNTIF(SheetTable02[Focal Document
Element],A159)</f>
        <v>6</v>
      </c>
      <c r="H159" s="7" t="str">
        <f>IF(A159=A158,"",_xlfn.TEXTJOIN(", ", TRUE, C159:INDEX(C:C, ROW(C159)+SheetTable02[[#This Row],[Column1]]-1)))</f>
        <v/>
      </c>
    </row>
    <row r="160" spans="1:8" ht="57.6">
      <c r="A160" s="1" t="s">
        <v>89</v>
      </c>
      <c r="B160" s="1" t="s">
        <v>90</v>
      </c>
      <c r="C160" s="1" t="s">
        <v>441</v>
      </c>
      <c r="D160" s="1"/>
      <c r="E160" s="1"/>
      <c r="F160" s="1"/>
      <c r="G160" s="7">
        <f>COUNTIF(SheetTable02[Focal Document
Element],A160)</f>
        <v>6</v>
      </c>
      <c r="H160" s="7" t="str">
        <f>IF(A160=A159,"",_xlfn.TEXTJOIN(", ", TRUE, C160:INDEX(C:C, ROW(C160)+SheetTable02[[#This Row],[Column1]]-1)))</f>
        <v/>
      </c>
    </row>
    <row r="161" spans="1:8" ht="57.6">
      <c r="A161" s="1" t="s">
        <v>89</v>
      </c>
      <c r="B161" s="1" t="s">
        <v>90</v>
      </c>
      <c r="C161" s="1" t="s">
        <v>631</v>
      </c>
      <c r="D161" s="1"/>
      <c r="E161" s="1"/>
      <c r="F161" s="1"/>
      <c r="G161" s="7">
        <f>COUNTIF(SheetTable02[Focal Document
Element],A161)</f>
        <v>6</v>
      </c>
      <c r="H161" s="7" t="str">
        <f>IF(A161=A160,"",_xlfn.TEXTJOIN(", ", TRUE, C161:INDEX(C:C, ROW(C161)+SheetTable02[[#This Row],[Column1]]-1)))</f>
        <v/>
      </c>
    </row>
    <row r="162" spans="1:8" ht="43.2">
      <c r="A162" s="1" t="s">
        <v>92</v>
      </c>
      <c r="B162" s="1" t="s">
        <v>93</v>
      </c>
      <c r="C162" s="1" t="s">
        <v>607</v>
      </c>
      <c r="D162" s="1"/>
      <c r="E162" s="1"/>
      <c r="F162" s="1"/>
      <c r="G162" s="7">
        <f>COUNTIF(SheetTable02[Focal Document
Element],A162)</f>
        <v>4</v>
      </c>
      <c r="H162" s="7" t="str">
        <f>IF(A162=A161,"",_xlfn.TEXTJOIN(", ", TRUE, C162:INDEX(C:C, ROW(C162)+SheetTable02[[#This Row],[Column1]]-1)))</f>
        <v>PM-04, PM-06, RA-07, SR-06</v>
      </c>
    </row>
    <row r="163" spans="1:8" ht="43.2">
      <c r="A163" s="1" t="s">
        <v>92</v>
      </c>
      <c r="B163" s="1" t="s">
        <v>93</v>
      </c>
      <c r="C163" s="1" t="s">
        <v>679</v>
      </c>
      <c r="D163" s="1"/>
      <c r="E163" s="1"/>
      <c r="F163" s="1"/>
      <c r="G163" s="7">
        <f>COUNTIF(SheetTable02[Focal Document
Element],A163)</f>
        <v>4</v>
      </c>
      <c r="H163" s="7" t="str">
        <f>IF(A163=A162,"",_xlfn.TEXTJOIN(", ", TRUE, C163:INDEX(C:C, ROW(C163)+SheetTable02[[#This Row],[Column1]]-1)))</f>
        <v/>
      </c>
    </row>
    <row r="164" spans="1:8" ht="43.2">
      <c r="A164" s="1" t="s">
        <v>92</v>
      </c>
      <c r="B164" s="1" t="s">
        <v>93</v>
      </c>
      <c r="C164" s="1" t="s">
        <v>441</v>
      </c>
      <c r="D164" s="1"/>
      <c r="E164" s="1"/>
      <c r="F164" s="1"/>
      <c r="G164" s="7">
        <f>COUNTIF(SheetTable02[Focal Document
Element],A164)</f>
        <v>4</v>
      </c>
      <c r="H164" s="7" t="str">
        <f>IF(A164=A163,"",_xlfn.TEXTJOIN(", ", TRUE, C164:INDEX(C:C, ROW(C164)+SheetTable02[[#This Row],[Column1]]-1)))</f>
        <v/>
      </c>
    </row>
    <row r="165" spans="1:8" ht="43.2">
      <c r="A165" s="1" t="s">
        <v>92</v>
      </c>
      <c r="B165" s="1" t="s">
        <v>93</v>
      </c>
      <c r="C165" s="1" t="s">
        <v>631</v>
      </c>
      <c r="D165" s="1"/>
      <c r="E165" s="1"/>
      <c r="F165" s="1"/>
      <c r="G165" s="7">
        <f>COUNTIF(SheetTable02[Focal Document
Element],A165)</f>
        <v>4</v>
      </c>
      <c r="H165" s="7" t="str">
        <f>IF(A165=A164,"",_xlfn.TEXTJOIN(", ", TRUE, C165:INDEX(C:C, ROW(C165)+SheetTable02[[#This Row],[Column1]]-1)))</f>
        <v/>
      </c>
    </row>
    <row r="166" spans="1:8" ht="57.6">
      <c r="A166" s="1" t="s">
        <v>678</v>
      </c>
      <c r="B166" s="1" t="s">
        <v>677</v>
      </c>
      <c r="C166" s="1"/>
      <c r="D166" s="1"/>
      <c r="E166" s="1"/>
      <c r="F166" s="1"/>
      <c r="G166" s="7">
        <f>COUNTIF(SheetTable02[Focal Document
Element],A166)</f>
        <v>1</v>
      </c>
      <c r="H166" s="7" t="str">
        <f>IF(A166=A165,"",_xlfn.TEXTJOIN(", ", TRUE, C166:INDEX(C:C, ROW(C166)+SheetTable02[[#This Row],[Column1]]-1)))</f>
        <v/>
      </c>
    </row>
    <row r="167" spans="1:8" ht="72">
      <c r="A167" s="1" t="s">
        <v>95</v>
      </c>
      <c r="B167" s="1" t="s">
        <v>96</v>
      </c>
      <c r="C167" s="1" t="s">
        <v>676</v>
      </c>
      <c r="D167" s="1"/>
      <c r="E167" s="1"/>
      <c r="F167" s="1"/>
      <c r="G167" s="7">
        <f>COUNTIF(SheetTable02[Focal Document
Element],A167)</f>
        <v>3</v>
      </c>
      <c r="H167" s="7" t="str">
        <f>IF(A167=A166,"",_xlfn.TEXTJOIN(", ", TRUE, C167:INDEX(C:C, ROW(C167)+SheetTable02[[#This Row],[Column1]]-1)))</f>
        <v>PM-30
, SR-02, SR-03</v>
      </c>
    </row>
    <row r="168" spans="1:8" ht="72">
      <c r="A168" s="1" t="s">
        <v>95</v>
      </c>
      <c r="B168" s="1" t="s">
        <v>96</v>
      </c>
      <c r="C168" s="1" t="s">
        <v>601</v>
      </c>
      <c r="D168" s="1"/>
      <c r="E168" s="1"/>
      <c r="F168" s="1"/>
      <c r="G168" s="7">
        <f>COUNTIF(SheetTable02[Focal Document
Element],A168)</f>
        <v>3</v>
      </c>
      <c r="H168" s="7" t="str">
        <f>IF(A168=A167,"",_xlfn.TEXTJOIN(", ", TRUE, C168:INDEX(C:C, ROW(C168)+SheetTable02[[#This Row],[Column1]]-1)))</f>
        <v/>
      </c>
    </row>
    <row r="169" spans="1:8" ht="72">
      <c r="A169" s="1" t="s">
        <v>95</v>
      </c>
      <c r="B169" s="1" t="s">
        <v>96</v>
      </c>
      <c r="C169" s="1" t="s">
        <v>437</v>
      </c>
      <c r="D169" s="1"/>
      <c r="E169" s="1"/>
      <c r="F169" s="1"/>
      <c r="G169" s="7">
        <f>COUNTIF(SheetTable02[Focal Document
Element],A169)</f>
        <v>3</v>
      </c>
      <c r="H169" s="7" t="str">
        <f>IF(A169=A168,"",_xlfn.TEXTJOIN(", ", TRUE, C169:INDEX(C:C, ROW(C169)+SheetTable02[[#This Row],[Column1]]-1)))</f>
        <v/>
      </c>
    </row>
    <row r="170" spans="1:8" ht="57.6">
      <c r="A170" s="1" t="s">
        <v>98</v>
      </c>
      <c r="B170" s="1" t="s">
        <v>99</v>
      </c>
      <c r="C170" s="1" t="s">
        <v>675</v>
      </c>
      <c r="D170" s="1"/>
      <c r="E170" s="1"/>
      <c r="F170" s="1"/>
      <c r="G170" s="7">
        <f>COUNTIF(SheetTable02[Focal Document
Element],A170)</f>
        <v>3</v>
      </c>
      <c r="H170" s="7" t="str">
        <f>IF(A170=A169,"",_xlfn.TEXTJOIN(", ", TRUE, C170:INDEX(C:C, ROW(C170)+SheetTable02[[#This Row],[Column1]]-1)))</f>
        <v>SR-02
, SR-03, SR-05</v>
      </c>
    </row>
    <row r="171" spans="1:8" ht="57.6">
      <c r="A171" s="1" t="s">
        <v>98</v>
      </c>
      <c r="B171" s="1" t="s">
        <v>99</v>
      </c>
      <c r="C171" s="1" t="s">
        <v>437</v>
      </c>
      <c r="D171" s="1"/>
      <c r="E171" s="1"/>
      <c r="F171" s="1"/>
      <c r="G171" s="7">
        <f>COUNTIF(SheetTable02[Focal Document
Element],A171)</f>
        <v>3</v>
      </c>
      <c r="H171" s="7" t="str">
        <f>IF(A171=A170,"",_xlfn.TEXTJOIN(", ", TRUE, C171:INDEX(C:C, ROW(C171)+SheetTable02[[#This Row],[Column1]]-1)))</f>
        <v/>
      </c>
    </row>
    <row r="172" spans="1:8" ht="57.6">
      <c r="A172" s="1" t="s">
        <v>98</v>
      </c>
      <c r="B172" s="1" t="s">
        <v>99</v>
      </c>
      <c r="C172" s="1" t="s">
        <v>604</v>
      </c>
      <c r="D172" s="1"/>
      <c r="E172" s="1"/>
      <c r="F172" s="1"/>
      <c r="G172" s="7">
        <f>COUNTIF(SheetTable02[Focal Document
Element],A172)</f>
        <v>3</v>
      </c>
      <c r="H172" s="7" t="str">
        <f>IF(A172=A171,"",_xlfn.TEXTJOIN(", ", TRUE, C172:INDEX(C:C, ROW(C172)+SheetTable02[[#This Row],[Column1]]-1)))</f>
        <v/>
      </c>
    </row>
    <row r="173" spans="1:8" ht="72">
      <c r="A173" s="1" t="s">
        <v>101</v>
      </c>
      <c r="B173" s="1" t="s">
        <v>102</v>
      </c>
      <c r="C173" s="1" t="s">
        <v>596</v>
      </c>
      <c r="D173" s="1"/>
      <c r="E173" s="1"/>
      <c r="F173" s="1"/>
      <c r="G173" s="7">
        <f>COUNTIF(SheetTable02[Focal Document
Element],A173)</f>
        <v>28</v>
      </c>
      <c r="H173" s="7" t="str">
        <f>IF(A173=A172,"",_xlfn.TEXTJOIN(", ", TRUE, C173:INDEX(C:C, ROW(C173)+SheetTable02[[#This Row],[Column1]]-1)))</f>
        <v>AC-01
, AT-01, AU-01, CA-01, CM-01, CP-01, IA-01, IR-01, MA-01, MP-01, PE-01, PL-01, PM-01, PS-01, PT-01, RA-01, SA-01, SC-01, SI-01, SR-01, PM-09, PM-18, PM-30, PM-31, SR-02, SR-03, RA-03, RA-07</v>
      </c>
    </row>
    <row r="174" spans="1:8" ht="72">
      <c r="A174" s="1" t="s">
        <v>101</v>
      </c>
      <c r="B174" s="1" t="s">
        <v>102</v>
      </c>
      <c r="C174" s="1" t="s">
        <v>626</v>
      </c>
      <c r="D174" s="1"/>
      <c r="E174" s="1"/>
      <c r="F174" s="1"/>
      <c r="G174" s="7">
        <f>COUNTIF(SheetTable02[Focal Document
Element],A174)</f>
        <v>28</v>
      </c>
      <c r="H174" s="7" t="str">
        <f>IF(A174=A173,"",_xlfn.TEXTJOIN(", ", TRUE, C174:INDEX(C:C, ROW(C174)+SheetTable02[[#This Row],[Column1]]-1)))</f>
        <v/>
      </c>
    </row>
    <row r="175" spans="1:8" ht="72">
      <c r="A175" s="1" t="s">
        <v>101</v>
      </c>
      <c r="B175" s="1" t="s">
        <v>102</v>
      </c>
      <c r="C175" s="1" t="s">
        <v>625</v>
      </c>
      <c r="D175" s="1"/>
      <c r="E175" s="1"/>
      <c r="F175" s="1"/>
      <c r="G175" s="7">
        <f>COUNTIF(SheetTable02[Focal Document
Element],A175)</f>
        <v>28</v>
      </c>
      <c r="H175" s="7" t="str">
        <f>IF(A175=A174,"",_xlfn.TEXTJOIN(", ", TRUE, C175:INDEX(C:C, ROW(C175)+SheetTable02[[#This Row],[Column1]]-1)))</f>
        <v/>
      </c>
    </row>
    <row r="176" spans="1:8" ht="72">
      <c r="A176" s="1" t="s">
        <v>101</v>
      </c>
      <c r="B176" s="1" t="s">
        <v>102</v>
      </c>
      <c r="C176" s="1" t="s">
        <v>624</v>
      </c>
      <c r="D176" s="1"/>
      <c r="E176" s="1"/>
      <c r="F176" s="1"/>
      <c r="G176" s="7">
        <f>COUNTIF(SheetTable02[Focal Document
Element],A176)</f>
        <v>28</v>
      </c>
      <c r="H176" s="7" t="str">
        <f>IF(A176=A175,"",_xlfn.TEXTJOIN(", ", TRUE, C176:INDEX(C:C, ROW(C176)+SheetTable02[[#This Row],[Column1]]-1)))</f>
        <v/>
      </c>
    </row>
    <row r="177" spans="1:8" ht="72">
      <c r="A177" s="1" t="s">
        <v>101</v>
      </c>
      <c r="B177" s="1" t="s">
        <v>102</v>
      </c>
      <c r="C177" s="1" t="s">
        <v>541</v>
      </c>
      <c r="D177" s="1"/>
      <c r="E177" s="1"/>
      <c r="F177" s="1"/>
      <c r="G177" s="7">
        <f>COUNTIF(SheetTable02[Focal Document
Element],A177)</f>
        <v>28</v>
      </c>
      <c r="H177" s="7" t="str">
        <f>IF(A177=A176,"",_xlfn.TEXTJOIN(", ", TRUE, C177:INDEX(C:C, ROW(C177)+SheetTable02[[#This Row],[Column1]]-1)))</f>
        <v/>
      </c>
    </row>
    <row r="178" spans="1:8" ht="72">
      <c r="A178" s="1" t="s">
        <v>101</v>
      </c>
      <c r="B178" s="1" t="s">
        <v>102</v>
      </c>
      <c r="C178" s="1" t="s">
        <v>623</v>
      </c>
      <c r="D178" s="1"/>
      <c r="E178" s="1"/>
      <c r="F178" s="1"/>
      <c r="G178" s="7">
        <f>COUNTIF(SheetTable02[Focal Document
Element],A178)</f>
        <v>28</v>
      </c>
      <c r="H178" s="7" t="str">
        <f>IF(A178=A177,"",_xlfn.TEXTJOIN(", ", TRUE, C178:INDEX(C:C, ROW(C178)+SheetTable02[[#This Row],[Column1]]-1)))</f>
        <v/>
      </c>
    </row>
    <row r="179" spans="1:8" ht="72">
      <c r="A179" s="1" t="s">
        <v>101</v>
      </c>
      <c r="B179" s="1" t="s">
        <v>102</v>
      </c>
      <c r="C179" s="1" t="s">
        <v>594</v>
      </c>
      <c r="D179" s="1"/>
      <c r="E179" s="1"/>
      <c r="F179" s="1"/>
      <c r="G179" s="7">
        <f>COUNTIF(SheetTable02[Focal Document
Element],A179)</f>
        <v>28</v>
      </c>
      <c r="H179" s="7" t="str">
        <f>IF(A179=A178,"",_xlfn.TEXTJOIN(", ", TRUE, C179:INDEX(C:C, ROW(C179)+SheetTable02[[#This Row],[Column1]]-1)))</f>
        <v/>
      </c>
    </row>
    <row r="180" spans="1:8" ht="72">
      <c r="A180" s="1" t="s">
        <v>101</v>
      </c>
      <c r="B180" s="1" t="s">
        <v>102</v>
      </c>
      <c r="C180" s="1" t="s">
        <v>424</v>
      </c>
      <c r="D180" s="1"/>
      <c r="E180" s="1"/>
      <c r="F180" s="1"/>
      <c r="G180" s="7">
        <f>COUNTIF(SheetTable02[Focal Document
Element],A180)</f>
        <v>28</v>
      </c>
      <c r="H180" s="7" t="str">
        <f>IF(A180=A179,"",_xlfn.TEXTJOIN(", ", TRUE, C180:INDEX(C:C, ROW(C180)+SheetTable02[[#This Row],[Column1]]-1)))</f>
        <v/>
      </c>
    </row>
    <row r="181" spans="1:8" ht="72">
      <c r="A181" s="1" t="s">
        <v>101</v>
      </c>
      <c r="B181" s="1" t="s">
        <v>102</v>
      </c>
      <c r="C181" s="1" t="s">
        <v>622</v>
      </c>
      <c r="D181" s="1"/>
      <c r="E181" s="1"/>
      <c r="F181" s="1"/>
      <c r="G181" s="7">
        <f>COUNTIF(SheetTable02[Focal Document
Element],A181)</f>
        <v>28</v>
      </c>
      <c r="H181" s="7" t="str">
        <f>IF(A181=A180,"",_xlfn.TEXTJOIN(", ", TRUE, C181:INDEX(C:C, ROW(C181)+SheetTable02[[#This Row],[Column1]]-1)))</f>
        <v/>
      </c>
    </row>
    <row r="182" spans="1:8" ht="72">
      <c r="A182" s="1" t="s">
        <v>101</v>
      </c>
      <c r="B182" s="1" t="s">
        <v>102</v>
      </c>
      <c r="C182" s="1" t="s">
        <v>621</v>
      </c>
      <c r="D182" s="1"/>
      <c r="E182" s="1"/>
      <c r="F182" s="1"/>
      <c r="G182" s="7">
        <f>COUNTIF(SheetTable02[Focal Document
Element],A182)</f>
        <v>28</v>
      </c>
      <c r="H182" s="7" t="str">
        <f>IF(A182=A181,"",_xlfn.TEXTJOIN(", ", TRUE, C182:INDEX(C:C, ROW(C182)+SheetTable02[[#This Row],[Column1]]-1)))</f>
        <v/>
      </c>
    </row>
    <row r="183" spans="1:8" ht="72">
      <c r="A183" s="1" t="s">
        <v>101</v>
      </c>
      <c r="B183" s="1" t="s">
        <v>102</v>
      </c>
      <c r="C183" s="1" t="s">
        <v>620</v>
      </c>
      <c r="D183" s="1"/>
      <c r="E183" s="1"/>
      <c r="F183" s="1"/>
      <c r="G183" s="7">
        <f>COUNTIF(SheetTable02[Focal Document
Element],A183)</f>
        <v>28</v>
      </c>
      <c r="H183" s="7" t="str">
        <f>IF(A183=A182,"",_xlfn.TEXTJOIN(", ", TRUE, C183:INDEX(C:C, ROW(C183)+SheetTable02[[#This Row],[Column1]]-1)))</f>
        <v/>
      </c>
    </row>
    <row r="184" spans="1:8" ht="72">
      <c r="A184" s="1" t="s">
        <v>101</v>
      </c>
      <c r="B184" s="1" t="s">
        <v>102</v>
      </c>
      <c r="C184" s="1" t="s">
        <v>619</v>
      </c>
      <c r="D184" s="1"/>
      <c r="E184" s="1"/>
      <c r="F184" s="1"/>
      <c r="G184" s="7">
        <f>COUNTIF(SheetTable02[Focal Document
Element],A184)</f>
        <v>28</v>
      </c>
      <c r="H184" s="7" t="str">
        <f>IF(A184=A183,"",_xlfn.TEXTJOIN(", ", TRUE, C184:INDEX(C:C, ROW(C184)+SheetTable02[[#This Row],[Column1]]-1)))</f>
        <v/>
      </c>
    </row>
    <row r="185" spans="1:8" ht="72">
      <c r="A185" s="1" t="s">
        <v>101</v>
      </c>
      <c r="B185" s="1" t="s">
        <v>102</v>
      </c>
      <c r="C185" s="1" t="s">
        <v>618</v>
      </c>
      <c r="D185" s="1"/>
      <c r="E185" s="1"/>
      <c r="F185" s="1"/>
      <c r="G185" s="7">
        <f>COUNTIF(SheetTable02[Focal Document
Element],A185)</f>
        <v>28</v>
      </c>
      <c r="H185" s="7" t="str">
        <f>IF(A185=A184,"",_xlfn.TEXTJOIN(", ", TRUE, C185:INDEX(C:C, ROW(C185)+SheetTable02[[#This Row],[Column1]]-1)))</f>
        <v/>
      </c>
    </row>
    <row r="186" spans="1:8" ht="72">
      <c r="A186" s="1" t="s">
        <v>101</v>
      </c>
      <c r="B186" s="1" t="s">
        <v>102</v>
      </c>
      <c r="C186" s="1" t="s">
        <v>617</v>
      </c>
      <c r="D186" s="1"/>
      <c r="E186" s="1"/>
      <c r="F186" s="1"/>
      <c r="G186" s="7">
        <f>COUNTIF(SheetTable02[Focal Document
Element],A186)</f>
        <v>28</v>
      </c>
      <c r="H186" s="7" t="str">
        <f>IF(A186=A185,"",_xlfn.TEXTJOIN(", ", TRUE, C186:INDEX(C:C, ROW(C186)+SheetTable02[[#This Row],[Column1]]-1)))</f>
        <v/>
      </c>
    </row>
    <row r="187" spans="1:8" ht="72">
      <c r="A187" s="1" t="s">
        <v>101</v>
      </c>
      <c r="B187" s="1" t="s">
        <v>102</v>
      </c>
      <c r="C187" s="1" t="s">
        <v>616</v>
      </c>
      <c r="D187" s="1"/>
      <c r="E187" s="1"/>
      <c r="F187" s="1"/>
      <c r="G187" s="7">
        <f>COUNTIF(SheetTable02[Focal Document
Element],A187)</f>
        <v>28</v>
      </c>
      <c r="H187" s="7" t="str">
        <f>IF(A187=A186,"",_xlfn.TEXTJOIN(", ", TRUE, C187:INDEX(C:C, ROW(C187)+SheetTable02[[#This Row],[Column1]]-1)))</f>
        <v/>
      </c>
    </row>
    <row r="188" spans="1:8" ht="72">
      <c r="A188" s="1" t="s">
        <v>101</v>
      </c>
      <c r="B188" s="1" t="s">
        <v>102</v>
      </c>
      <c r="C188" s="1" t="s">
        <v>615</v>
      </c>
      <c r="D188" s="1"/>
      <c r="E188" s="1"/>
      <c r="F188" s="1"/>
      <c r="G188" s="7">
        <f>COUNTIF(SheetTable02[Focal Document
Element],A188)</f>
        <v>28</v>
      </c>
      <c r="H188" s="7" t="str">
        <f>IF(A188=A187,"",_xlfn.TEXTJOIN(", ", TRUE, C188:INDEX(C:C, ROW(C188)+SheetTable02[[#This Row],[Column1]]-1)))</f>
        <v/>
      </c>
    </row>
    <row r="189" spans="1:8" ht="72">
      <c r="A189" s="1" t="s">
        <v>101</v>
      </c>
      <c r="B189" s="1" t="s">
        <v>102</v>
      </c>
      <c r="C189" s="1" t="s">
        <v>614</v>
      </c>
      <c r="D189" s="1"/>
      <c r="E189" s="1"/>
      <c r="F189" s="1"/>
      <c r="G189" s="7">
        <f>COUNTIF(SheetTable02[Focal Document
Element],A189)</f>
        <v>28</v>
      </c>
      <c r="H189" s="7" t="str">
        <f>IF(A189=A188,"",_xlfn.TEXTJOIN(", ", TRUE, C189:INDEX(C:C, ROW(C189)+SheetTable02[[#This Row],[Column1]]-1)))</f>
        <v/>
      </c>
    </row>
    <row r="190" spans="1:8" ht="72">
      <c r="A190" s="1" t="s">
        <v>101</v>
      </c>
      <c r="B190" s="1" t="s">
        <v>102</v>
      </c>
      <c r="C190" s="1" t="s">
        <v>613</v>
      </c>
      <c r="D190" s="1"/>
      <c r="E190" s="1"/>
      <c r="F190" s="1"/>
      <c r="G190" s="7">
        <f>COUNTIF(SheetTable02[Focal Document
Element],A190)</f>
        <v>28</v>
      </c>
      <c r="H190" s="7" t="str">
        <f>IF(A190=A189,"",_xlfn.TEXTJOIN(", ", TRUE, C190:INDEX(C:C, ROW(C190)+SheetTable02[[#This Row],[Column1]]-1)))</f>
        <v/>
      </c>
    </row>
    <row r="191" spans="1:8" ht="72">
      <c r="A191" s="1" t="s">
        <v>101</v>
      </c>
      <c r="B191" s="1" t="s">
        <v>102</v>
      </c>
      <c r="C191" s="1" t="s">
        <v>612</v>
      </c>
      <c r="D191" s="1"/>
      <c r="E191" s="1"/>
      <c r="F191" s="1"/>
      <c r="G191" s="7">
        <f>COUNTIF(SheetTable02[Focal Document
Element],A191)</f>
        <v>28</v>
      </c>
      <c r="H191" s="7" t="str">
        <f>IF(A191=A190,"",_xlfn.TEXTJOIN(", ", TRUE, C191:INDEX(C:C, ROW(C191)+SheetTable02[[#This Row],[Column1]]-1)))</f>
        <v/>
      </c>
    </row>
    <row r="192" spans="1:8" ht="72">
      <c r="A192" s="1" t="s">
        <v>101</v>
      </c>
      <c r="B192" s="1" t="s">
        <v>102</v>
      </c>
      <c r="C192" s="1" t="s">
        <v>611</v>
      </c>
      <c r="D192" s="1"/>
      <c r="E192" s="1"/>
      <c r="F192" s="1"/>
      <c r="G192" s="7">
        <f>COUNTIF(SheetTable02[Focal Document
Element],A192)</f>
        <v>28</v>
      </c>
      <c r="H192" s="7" t="str">
        <f>IF(A192=A191,"",_xlfn.TEXTJOIN(", ", TRUE, C192:INDEX(C:C, ROW(C192)+SheetTable02[[#This Row],[Column1]]-1)))</f>
        <v/>
      </c>
    </row>
    <row r="193" spans="1:8" ht="72">
      <c r="A193" s="1" t="s">
        <v>101</v>
      </c>
      <c r="B193" s="1" t="s">
        <v>102</v>
      </c>
      <c r="C193" s="1" t="s">
        <v>426</v>
      </c>
      <c r="D193" s="1"/>
      <c r="E193" s="1"/>
      <c r="F193" s="1"/>
      <c r="G193" s="7">
        <f>COUNTIF(SheetTable02[Focal Document
Element],A193)</f>
        <v>28</v>
      </c>
      <c r="H193" s="7" t="str">
        <f>IF(A193=A192,"",_xlfn.TEXTJOIN(", ", TRUE, C193:INDEX(C:C, ROW(C193)+SheetTable02[[#This Row],[Column1]]-1)))</f>
        <v/>
      </c>
    </row>
    <row r="194" spans="1:8" ht="72">
      <c r="A194" s="1" t="s">
        <v>101</v>
      </c>
      <c r="B194" s="1" t="s">
        <v>102</v>
      </c>
      <c r="C194" s="1" t="s">
        <v>460</v>
      </c>
      <c r="D194" s="1"/>
      <c r="E194" s="1"/>
      <c r="F194" s="1"/>
      <c r="G194" s="7">
        <f>COUNTIF(SheetTable02[Focal Document
Element],A194)</f>
        <v>28</v>
      </c>
      <c r="H194" s="7" t="str">
        <f>IF(A194=A193,"",_xlfn.TEXTJOIN(", ", TRUE, C194:INDEX(C:C, ROW(C194)+SheetTable02[[#This Row],[Column1]]-1)))</f>
        <v/>
      </c>
    </row>
    <row r="195" spans="1:8" ht="72">
      <c r="A195" s="1" t="s">
        <v>101</v>
      </c>
      <c r="B195" s="1" t="s">
        <v>102</v>
      </c>
      <c r="C195" s="1" t="s">
        <v>458</v>
      </c>
      <c r="D195" s="1"/>
      <c r="E195" s="1"/>
      <c r="F195" s="1"/>
      <c r="G195" s="7">
        <f>COUNTIF(SheetTable02[Focal Document
Element],A195)</f>
        <v>28</v>
      </c>
      <c r="H195" s="7" t="str">
        <f>IF(A195=A194,"",_xlfn.TEXTJOIN(", ", TRUE, C195:INDEX(C:C, ROW(C195)+SheetTable02[[#This Row],[Column1]]-1)))</f>
        <v/>
      </c>
    </row>
    <row r="196" spans="1:8" ht="72">
      <c r="A196" s="1" t="s">
        <v>101</v>
      </c>
      <c r="B196" s="1" t="s">
        <v>102</v>
      </c>
      <c r="C196" s="1" t="s">
        <v>606</v>
      </c>
      <c r="D196" s="1"/>
      <c r="E196" s="1"/>
      <c r="F196" s="1"/>
      <c r="G196" s="7">
        <f>COUNTIF(SheetTable02[Focal Document
Element],A196)</f>
        <v>28</v>
      </c>
      <c r="H196" s="7" t="str">
        <f>IF(A196=A195,"",_xlfn.TEXTJOIN(", ", TRUE, C196:INDEX(C:C, ROW(C196)+SheetTable02[[#This Row],[Column1]]-1)))</f>
        <v/>
      </c>
    </row>
    <row r="197" spans="1:8" ht="72">
      <c r="A197" s="1" t="s">
        <v>101</v>
      </c>
      <c r="B197" s="1" t="s">
        <v>102</v>
      </c>
      <c r="C197" s="1" t="s">
        <v>601</v>
      </c>
      <c r="D197" s="1"/>
      <c r="E197" s="1"/>
      <c r="F197" s="1"/>
      <c r="G197" s="7">
        <f>COUNTIF(SheetTable02[Focal Document
Element],A197)</f>
        <v>28</v>
      </c>
      <c r="H197" s="7" t="str">
        <f>IF(A197=A196,"",_xlfn.TEXTJOIN(", ", TRUE, C197:INDEX(C:C, ROW(C197)+SheetTable02[[#This Row],[Column1]]-1)))</f>
        <v/>
      </c>
    </row>
    <row r="198" spans="1:8" ht="72">
      <c r="A198" s="1" t="s">
        <v>101</v>
      </c>
      <c r="B198" s="1" t="s">
        <v>102</v>
      </c>
      <c r="C198" s="1" t="s">
        <v>437</v>
      </c>
      <c r="D198" s="1"/>
      <c r="E198" s="1"/>
      <c r="F198" s="1"/>
      <c r="G198" s="7">
        <f>COUNTIF(SheetTable02[Focal Document
Element],A198)</f>
        <v>28</v>
      </c>
      <c r="H198" s="7" t="str">
        <f>IF(A198=A197,"",_xlfn.TEXTJOIN(", ", TRUE, C198:INDEX(C:C, ROW(C198)+SheetTable02[[#This Row],[Column1]]-1)))</f>
        <v/>
      </c>
    </row>
    <row r="199" spans="1:8" ht="72">
      <c r="A199" s="1" t="s">
        <v>101</v>
      </c>
      <c r="B199" s="1" t="s">
        <v>102</v>
      </c>
      <c r="C199" s="1" t="s">
        <v>442</v>
      </c>
      <c r="D199" s="1"/>
      <c r="E199" s="1"/>
      <c r="F199" s="1"/>
      <c r="G199" s="7">
        <f>COUNTIF(SheetTable02[Focal Document
Element],A199)</f>
        <v>28</v>
      </c>
      <c r="H199" s="7" t="str">
        <f>IF(A199=A198,"",_xlfn.TEXTJOIN(", ", TRUE, C199:INDEX(C:C, ROW(C199)+SheetTable02[[#This Row],[Column1]]-1)))</f>
        <v/>
      </c>
    </row>
    <row r="200" spans="1:8" ht="72">
      <c r="A200" s="1" t="s">
        <v>101</v>
      </c>
      <c r="B200" s="1" t="s">
        <v>102</v>
      </c>
      <c r="C200" s="1" t="s">
        <v>441</v>
      </c>
      <c r="D200" s="1"/>
      <c r="E200" s="1"/>
      <c r="F200" s="1"/>
      <c r="G200" s="7">
        <f>COUNTIF(SheetTable02[Focal Document
Element],A200)</f>
        <v>28</v>
      </c>
      <c r="H200" s="7" t="str">
        <f>IF(A200=A199,"",_xlfn.TEXTJOIN(", ", TRUE, C200:INDEX(C:C, ROW(C200)+SheetTable02[[#This Row],[Column1]]-1)))</f>
        <v/>
      </c>
    </row>
    <row r="201" spans="1:8" ht="28.8">
      <c r="A201" s="1" t="s">
        <v>104</v>
      </c>
      <c r="B201" s="1" t="s">
        <v>105</v>
      </c>
      <c r="C201" s="1" t="s">
        <v>674</v>
      </c>
      <c r="D201" s="1"/>
      <c r="E201" s="1"/>
      <c r="F201" s="1"/>
      <c r="G201" s="7">
        <f>COUNTIF(SheetTable02[Focal Document
Element],A201)</f>
        <v>3</v>
      </c>
      <c r="H201" s="7" t="str">
        <f>IF(A201=A200,"",_xlfn.TEXTJOIN(", ", TRUE, C201:INDEX(C:C, ROW(C201)+SheetTable02[[#This Row],[Column1]]-1)))</f>
        <v>RA-09
, SA-09, SR-06</v>
      </c>
    </row>
    <row r="202" spans="1:8" ht="28.8">
      <c r="A202" s="1" t="s">
        <v>104</v>
      </c>
      <c r="B202" s="1" t="s">
        <v>105</v>
      </c>
      <c r="C202" s="1" t="s">
        <v>476</v>
      </c>
      <c r="D202" s="1"/>
      <c r="E202" s="1"/>
      <c r="F202" s="1"/>
      <c r="G202" s="7">
        <f>COUNTIF(SheetTable02[Focal Document
Element],A202)</f>
        <v>3</v>
      </c>
      <c r="H202" s="7" t="str">
        <f>IF(A202=A201,"",_xlfn.TEXTJOIN(", ", TRUE, C202:INDEX(C:C, ROW(C202)+SheetTable02[[#This Row],[Column1]]-1)))</f>
        <v/>
      </c>
    </row>
    <row r="203" spans="1:8" ht="28.8">
      <c r="A203" s="1" t="s">
        <v>104</v>
      </c>
      <c r="B203" s="1" t="s">
        <v>105</v>
      </c>
      <c r="C203" s="1" t="s">
        <v>631</v>
      </c>
      <c r="D203" s="1"/>
      <c r="E203" s="1"/>
      <c r="F203" s="1"/>
      <c r="G203" s="7">
        <f>COUNTIF(SheetTable02[Focal Document
Element],A203)</f>
        <v>3</v>
      </c>
      <c r="H203" s="7" t="str">
        <f>IF(A203=A202,"",_xlfn.TEXTJOIN(", ", TRUE, C203:INDEX(C:C, ROW(C203)+SheetTable02[[#This Row],[Column1]]-1)))</f>
        <v/>
      </c>
    </row>
    <row r="204" spans="1:8" ht="86.4">
      <c r="A204" s="1" t="s">
        <v>107</v>
      </c>
      <c r="B204" s="1" t="s">
        <v>109</v>
      </c>
      <c r="C204" s="1" t="s">
        <v>673</v>
      </c>
      <c r="D204" s="1"/>
      <c r="E204" s="1"/>
      <c r="F204" s="1"/>
      <c r="G204" s="7">
        <f>COUNTIF(SheetTable02[Focal Document
Element],A204)</f>
        <v>6</v>
      </c>
      <c r="H204" s="7" t="str">
        <f>IF(A204=A203,"",_xlfn.TEXTJOIN(", ", TRUE, C204:INDEX(C:C, ROW(C204)+SheetTable02[[#This Row],[Column1]]-1)))</f>
        <v>SA-04
, SA-09, SR-03, SR-05, SR-06, SR-10</v>
      </c>
    </row>
    <row r="205" spans="1:8" ht="86.4">
      <c r="A205" s="1" t="s">
        <v>107</v>
      </c>
      <c r="B205" s="1" t="s">
        <v>109</v>
      </c>
      <c r="C205" s="1" t="s">
        <v>476</v>
      </c>
      <c r="D205" s="1"/>
      <c r="E205" s="1"/>
      <c r="F205" s="1"/>
      <c r="G205" s="7">
        <f>COUNTIF(SheetTable02[Focal Document
Element],A205)</f>
        <v>6</v>
      </c>
      <c r="H205" s="7" t="str">
        <f>IF(A205=A204,"",_xlfn.TEXTJOIN(", ", TRUE, C205:INDEX(C:C, ROW(C205)+SheetTable02[[#This Row],[Column1]]-1)))</f>
        <v/>
      </c>
    </row>
    <row r="206" spans="1:8" ht="86.4">
      <c r="A206" s="1" t="s">
        <v>107</v>
      </c>
      <c r="B206" s="1" t="s">
        <v>109</v>
      </c>
      <c r="C206" s="1" t="s">
        <v>437</v>
      </c>
      <c r="D206" s="1"/>
      <c r="E206" s="1"/>
      <c r="F206" s="1"/>
      <c r="G206" s="7">
        <f>COUNTIF(SheetTable02[Focal Document
Element],A206)</f>
        <v>6</v>
      </c>
      <c r="H206" s="7" t="str">
        <f>IF(A206=A205,"",_xlfn.TEXTJOIN(", ", TRUE, C206:INDEX(C:C, ROW(C206)+SheetTable02[[#This Row],[Column1]]-1)))</f>
        <v/>
      </c>
    </row>
    <row r="207" spans="1:8" ht="86.4">
      <c r="A207" s="1" t="s">
        <v>107</v>
      </c>
      <c r="B207" s="1" t="s">
        <v>109</v>
      </c>
      <c r="C207" s="1" t="s">
        <v>604</v>
      </c>
      <c r="D207" s="1"/>
      <c r="E207" s="1"/>
      <c r="F207" s="1"/>
      <c r="G207" s="7">
        <f>COUNTIF(SheetTable02[Focal Document
Element],A207)</f>
        <v>6</v>
      </c>
      <c r="H207" s="7" t="str">
        <f>IF(A207=A206,"",_xlfn.TEXTJOIN(", ", TRUE, C207:INDEX(C:C, ROW(C207)+SheetTable02[[#This Row],[Column1]]-1)))</f>
        <v/>
      </c>
    </row>
    <row r="208" spans="1:8" ht="86.4">
      <c r="A208" s="1" t="s">
        <v>107</v>
      </c>
      <c r="B208" s="1" t="s">
        <v>109</v>
      </c>
      <c r="C208" s="1" t="s">
        <v>631</v>
      </c>
      <c r="D208" s="1"/>
      <c r="E208" s="1"/>
      <c r="F208" s="1"/>
      <c r="G208" s="7">
        <f>COUNTIF(SheetTable02[Focal Document
Element],A208)</f>
        <v>6</v>
      </c>
      <c r="H208" s="7" t="str">
        <f>IF(A208=A207,"",_xlfn.TEXTJOIN(", ", TRUE, C208:INDEX(C:C, ROW(C208)+SheetTable02[[#This Row],[Column1]]-1)))</f>
        <v/>
      </c>
    </row>
    <row r="209" spans="1:8" ht="86.4">
      <c r="A209" s="1" t="s">
        <v>107</v>
      </c>
      <c r="B209" s="1" t="s">
        <v>109</v>
      </c>
      <c r="C209" s="1" t="s">
        <v>633</v>
      </c>
      <c r="D209" s="1"/>
      <c r="E209" s="1"/>
      <c r="F209" s="1"/>
      <c r="G209" s="7">
        <f>COUNTIF(SheetTable02[Focal Document
Element],A209)</f>
        <v>6</v>
      </c>
      <c r="H209" s="7" t="str">
        <f>IF(A209=A208,"",_xlfn.TEXTJOIN(", ", TRUE, C209:INDEX(C:C, ROW(C209)+SheetTable02[[#This Row],[Column1]]-1)))</f>
        <v/>
      </c>
    </row>
    <row r="210" spans="1:8" ht="57.6">
      <c r="A210" s="1" t="s">
        <v>111</v>
      </c>
      <c r="B210" s="1" t="s">
        <v>112</v>
      </c>
      <c r="C210" s="1" t="s">
        <v>673</v>
      </c>
      <c r="D210" s="1"/>
      <c r="E210" s="1"/>
      <c r="F210" s="1"/>
      <c r="G210" s="7">
        <f>COUNTIF(SheetTable02[Focal Document
Element],A210)</f>
        <v>4</v>
      </c>
      <c r="H210" s="7" t="str">
        <f>IF(A210=A209,"",_xlfn.TEXTJOIN(", ", TRUE, C210:INDEX(C:C, ROW(C210)+SheetTable02[[#This Row],[Column1]]-1)))</f>
        <v>SA-04
, SA-09, SR-05, SR-06</v>
      </c>
    </row>
    <row r="211" spans="1:8" ht="57.6">
      <c r="A211" s="1" t="s">
        <v>111</v>
      </c>
      <c r="B211" s="1" t="s">
        <v>112</v>
      </c>
      <c r="C211" s="1" t="s">
        <v>476</v>
      </c>
      <c r="D211" s="1"/>
      <c r="E211" s="1"/>
      <c r="F211" s="1"/>
      <c r="G211" s="7">
        <f>COUNTIF(SheetTable02[Focal Document
Element],A211)</f>
        <v>4</v>
      </c>
      <c r="H211" s="7" t="str">
        <f>IF(A211=A210,"",_xlfn.TEXTJOIN(", ", TRUE, C211:INDEX(C:C, ROW(C211)+SheetTable02[[#This Row],[Column1]]-1)))</f>
        <v/>
      </c>
    </row>
    <row r="212" spans="1:8" ht="57.6">
      <c r="A212" s="1" t="s">
        <v>111</v>
      </c>
      <c r="B212" s="1" t="s">
        <v>112</v>
      </c>
      <c r="C212" s="1" t="s">
        <v>604</v>
      </c>
      <c r="D212" s="1"/>
      <c r="E212" s="1"/>
      <c r="F212" s="1"/>
      <c r="G212" s="7">
        <f>COUNTIF(SheetTable02[Focal Document
Element],A212)</f>
        <v>4</v>
      </c>
      <c r="H212" s="7" t="str">
        <f>IF(A212=A211,"",_xlfn.TEXTJOIN(", ", TRUE, C212:INDEX(C:C, ROW(C212)+SheetTable02[[#This Row],[Column1]]-1)))</f>
        <v/>
      </c>
    </row>
    <row r="213" spans="1:8" ht="57.6">
      <c r="A213" s="1" t="s">
        <v>111</v>
      </c>
      <c r="B213" s="1" t="s">
        <v>112</v>
      </c>
      <c r="C213" s="1" t="s">
        <v>631</v>
      </c>
      <c r="D213" s="1"/>
      <c r="E213" s="1"/>
      <c r="F213" s="1"/>
      <c r="G213" s="7">
        <f>COUNTIF(SheetTable02[Focal Document
Element],A213)</f>
        <v>4</v>
      </c>
      <c r="H213" s="7" t="str">
        <f>IF(A213=A212,"",_xlfn.TEXTJOIN(", ", TRUE, C213:INDEX(C:C, ROW(C213)+SheetTable02[[#This Row],[Column1]]-1)))</f>
        <v/>
      </c>
    </row>
    <row r="214" spans="1:8" ht="86.4">
      <c r="A214" s="1" t="s">
        <v>114</v>
      </c>
      <c r="B214" s="1" t="s">
        <v>115</v>
      </c>
      <c r="C214" s="1" t="s">
        <v>674</v>
      </c>
      <c r="D214" s="1"/>
      <c r="E214" s="1"/>
      <c r="F214" s="1"/>
      <c r="G214" s="7">
        <f>COUNTIF(SheetTable02[Focal Document
Element],A214)</f>
        <v>5</v>
      </c>
      <c r="H214" s="7" t="str">
        <f>IF(A214=A213,"",_xlfn.TEXTJOIN(", ", TRUE, C214:INDEX(C:C, ROW(C214)+SheetTable02[[#This Row],[Column1]]-1)))</f>
        <v>RA-09
, SA-04, SA-09, SR-03, SR-06</v>
      </c>
    </row>
    <row r="215" spans="1:8" ht="86.4">
      <c r="A215" s="1" t="s">
        <v>114</v>
      </c>
      <c r="B215" s="1" t="s">
        <v>115</v>
      </c>
      <c r="C215" s="1" t="s">
        <v>477</v>
      </c>
      <c r="D215" s="1"/>
      <c r="E215" s="1"/>
      <c r="F215" s="1"/>
      <c r="G215" s="7">
        <f>COUNTIF(SheetTable02[Focal Document
Element],A215)</f>
        <v>5</v>
      </c>
      <c r="H215" s="7" t="str">
        <f>IF(A215=A214,"",_xlfn.TEXTJOIN(", ", TRUE, C215:INDEX(C:C, ROW(C215)+SheetTable02[[#This Row],[Column1]]-1)))</f>
        <v/>
      </c>
    </row>
    <row r="216" spans="1:8" ht="86.4">
      <c r="A216" s="1" t="s">
        <v>114</v>
      </c>
      <c r="B216" s="1" t="s">
        <v>115</v>
      </c>
      <c r="C216" s="1" t="s">
        <v>476</v>
      </c>
      <c r="D216" s="1"/>
      <c r="E216" s="1"/>
      <c r="F216" s="1"/>
      <c r="G216" s="7">
        <f>COUNTIF(SheetTable02[Focal Document
Element],A216)</f>
        <v>5</v>
      </c>
      <c r="H216" s="7" t="str">
        <f>IF(A216=A215,"",_xlfn.TEXTJOIN(", ", TRUE, C216:INDEX(C:C, ROW(C216)+SheetTable02[[#This Row],[Column1]]-1)))</f>
        <v/>
      </c>
    </row>
    <row r="217" spans="1:8" ht="86.4">
      <c r="A217" s="1" t="s">
        <v>114</v>
      </c>
      <c r="B217" s="1" t="s">
        <v>115</v>
      </c>
      <c r="C217" s="1" t="s">
        <v>437</v>
      </c>
      <c r="D217" s="1"/>
      <c r="E217" s="1"/>
      <c r="F217" s="1"/>
      <c r="G217" s="7">
        <f>COUNTIF(SheetTable02[Focal Document
Element],A217)</f>
        <v>5</v>
      </c>
      <c r="H217" s="7" t="str">
        <f>IF(A217=A216,"",_xlfn.TEXTJOIN(", ", TRUE, C217:INDEX(C:C, ROW(C217)+SheetTable02[[#This Row],[Column1]]-1)))</f>
        <v/>
      </c>
    </row>
    <row r="218" spans="1:8" ht="86.4">
      <c r="A218" s="1" t="s">
        <v>114</v>
      </c>
      <c r="B218" s="1" t="s">
        <v>115</v>
      </c>
      <c r="C218" s="1" t="s">
        <v>631</v>
      </c>
      <c r="D218" s="1"/>
      <c r="E218" s="1"/>
      <c r="F218" s="1"/>
      <c r="G218" s="7">
        <f>COUNTIF(SheetTable02[Focal Document
Element],A218)</f>
        <v>5</v>
      </c>
      <c r="H218" s="7" t="str">
        <f>IF(A218=A217,"",_xlfn.TEXTJOIN(", ", TRUE, C218:INDEX(C:C, ROW(C218)+SheetTable02[[#This Row],[Column1]]-1)))</f>
        <v/>
      </c>
    </row>
    <row r="219" spans="1:8" ht="43.2">
      <c r="A219" s="1" t="s">
        <v>117</v>
      </c>
      <c r="B219" s="1" t="s">
        <v>119</v>
      </c>
      <c r="C219" s="1" t="s">
        <v>673</v>
      </c>
      <c r="D219" s="1"/>
      <c r="E219" s="1"/>
      <c r="F219" s="1"/>
      <c r="G219" s="7">
        <f>COUNTIF(SheetTable02[Focal Document
Element],A219)</f>
        <v>7</v>
      </c>
      <c r="H219" s="7" t="str">
        <f>IF(A219=A218,"",_xlfn.TEXTJOIN(", ", TRUE, C219:INDEX(C:C, ROW(C219)+SheetTable02[[#This Row],[Column1]]-1)))</f>
        <v>SA-04
, SA-09, SR-02, SR-03, SR-08, CP-01, IR-01</v>
      </c>
    </row>
    <row r="220" spans="1:8" ht="43.2">
      <c r="A220" s="1" t="s">
        <v>117</v>
      </c>
      <c r="B220" s="1" t="s">
        <v>119</v>
      </c>
      <c r="C220" s="1" t="s">
        <v>476</v>
      </c>
      <c r="D220" s="1"/>
      <c r="E220" s="1"/>
      <c r="F220" s="1"/>
      <c r="G220" s="7">
        <f>COUNTIF(SheetTable02[Focal Document
Element],A220)</f>
        <v>7</v>
      </c>
      <c r="H220" s="7" t="str">
        <f>IF(A220=A219,"",_xlfn.TEXTJOIN(", ", TRUE, C220:INDEX(C:C, ROW(C220)+SheetTable02[[#This Row],[Column1]]-1)))</f>
        <v/>
      </c>
    </row>
    <row r="221" spans="1:8" ht="43.2">
      <c r="A221" s="1" t="s">
        <v>117</v>
      </c>
      <c r="B221" s="1" t="s">
        <v>119</v>
      </c>
      <c r="C221" s="1" t="s">
        <v>601</v>
      </c>
      <c r="D221" s="1"/>
      <c r="E221" s="1"/>
      <c r="F221" s="1"/>
      <c r="G221" s="7">
        <f>COUNTIF(SheetTable02[Focal Document
Element],A221)</f>
        <v>7</v>
      </c>
      <c r="H221" s="7" t="str">
        <f>IF(A221=A220,"",_xlfn.TEXTJOIN(", ", TRUE, C221:INDEX(C:C, ROW(C221)+SheetTable02[[#This Row],[Column1]]-1)))</f>
        <v/>
      </c>
    </row>
    <row r="222" spans="1:8" ht="43.2">
      <c r="A222" s="1" t="s">
        <v>117</v>
      </c>
      <c r="B222" s="1" t="s">
        <v>119</v>
      </c>
      <c r="C222" s="1" t="s">
        <v>437</v>
      </c>
      <c r="D222" s="1"/>
      <c r="E222" s="1"/>
      <c r="F222" s="1"/>
      <c r="G222" s="7">
        <f>COUNTIF(SheetTable02[Focal Document
Element],A222)</f>
        <v>7</v>
      </c>
      <c r="H222" s="7" t="str">
        <f>IF(A222=A221,"",_xlfn.TEXTJOIN(", ", TRUE, C222:INDEX(C:C, ROW(C222)+SheetTable02[[#This Row],[Column1]]-1)))</f>
        <v/>
      </c>
    </row>
    <row r="223" spans="1:8" ht="43.2">
      <c r="A223" s="1" t="s">
        <v>117</v>
      </c>
      <c r="B223" s="1" t="s">
        <v>119</v>
      </c>
      <c r="C223" s="1" t="s">
        <v>418</v>
      </c>
      <c r="D223" s="1"/>
      <c r="E223" s="1"/>
      <c r="F223" s="1"/>
      <c r="G223" s="7">
        <f>COUNTIF(SheetTable02[Focal Document
Element],A223)</f>
        <v>7</v>
      </c>
      <c r="H223" s="7" t="str">
        <f>IF(A223=A222,"",_xlfn.TEXTJOIN(", ", TRUE, C223:INDEX(C:C, ROW(C223)+SheetTable02[[#This Row],[Column1]]-1)))</f>
        <v/>
      </c>
    </row>
    <row r="224" spans="1:8" ht="43.2">
      <c r="A224" s="1" t="s">
        <v>117</v>
      </c>
      <c r="B224" s="1" t="s">
        <v>119</v>
      </c>
      <c r="C224" s="1" t="s">
        <v>623</v>
      </c>
      <c r="D224" s="1"/>
      <c r="E224" s="1"/>
      <c r="F224" s="1"/>
      <c r="G224" s="7">
        <f>COUNTIF(SheetTable02[Focal Document
Element],A224)</f>
        <v>7</v>
      </c>
      <c r="H224" s="7" t="str">
        <f>IF(A224=A223,"",_xlfn.TEXTJOIN(", ", TRUE, C224:INDEX(C:C, ROW(C224)+SheetTable02[[#This Row],[Column1]]-1)))</f>
        <v/>
      </c>
    </row>
    <row r="225" spans="1:8" ht="43.2">
      <c r="A225" s="1" t="s">
        <v>117</v>
      </c>
      <c r="B225" s="1" t="s">
        <v>119</v>
      </c>
      <c r="C225" s="1" t="s">
        <v>424</v>
      </c>
      <c r="D225" s="1"/>
      <c r="E225" s="1"/>
      <c r="F225" s="1"/>
      <c r="G225" s="7">
        <f>COUNTIF(SheetTable02[Focal Document
Element],A225)</f>
        <v>7</v>
      </c>
      <c r="H225" s="7" t="str">
        <f>IF(A225=A224,"",_xlfn.TEXTJOIN(", ", TRUE, C225:INDEX(C:C, ROW(C225)+SheetTable02[[#This Row],[Column1]]-1)))</f>
        <v/>
      </c>
    </row>
    <row r="226" spans="1:8" ht="86.4">
      <c r="A226" s="1" t="s">
        <v>121</v>
      </c>
      <c r="B226" s="1" t="s">
        <v>122</v>
      </c>
      <c r="C226" s="1" t="s">
        <v>636</v>
      </c>
      <c r="D226" s="1"/>
      <c r="E226" s="1"/>
      <c r="F226" s="1"/>
      <c r="G226" s="7">
        <f>COUNTIF(SheetTable02[Focal Document
Element],A226)</f>
        <v>13</v>
      </c>
      <c r="H226" s="7" t="str">
        <f>IF(A226=A225,"",_xlfn.TEXTJOIN(", ", TRUE, C226:INDEX(C:C, ROW(C226)+SheetTable02[[#This Row],[Column1]]-1)))</f>
        <v>PM-09
, PM-19, PM-28, PM-30, PM-31, RA-03, RA-07, SA-04, SA-09, SR-02, SR-03, SR-05, SR-06</v>
      </c>
    </row>
    <row r="227" spans="1:8" ht="86.4">
      <c r="A227" s="1" t="s">
        <v>121</v>
      </c>
      <c r="B227" s="1" t="s">
        <v>122</v>
      </c>
      <c r="C227" s="1" t="s">
        <v>672</v>
      </c>
      <c r="D227" s="1"/>
      <c r="E227" s="1"/>
      <c r="F227" s="1"/>
      <c r="G227" s="7">
        <f>COUNTIF(SheetTable02[Focal Document
Element],A227)</f>
        <v>13</v>
      </c>
      <c r="H227" s="7" t="str">
        <f>IF(A227=A226,"",_xlfn.TEXTJOIN(", ", TRUE, C227:INDEX(C:C, ROW(C227)+SheetTable02[[#This Row],[Column1]]-1)))</f>
        <v/>
      </c>
    </row>
    <row r="228" spans="1:8" ht="86.4">
      <c r="A228" s="1" t="s">
        <v>121</v>
      </c>
      <c r="B228" s="1" t="s">
        <v>122</v>
      </c>
      <c r="C228" s="1" t="s">
        <v>459</v>
      </c>
      <c r="D228" s="1"/>
      <c r="E228" s="1"/>
      <c r="F228" s="1"/>
      <c r="G228" s="7">
        <f>COUNTIF(SheetTable02[Focal Document
Element],A228)</f>
        <v>13</v>
      </c>
      <c r="H228" s="7" t="str">
        <f>IF(A228=A227,"",_xlfn.TEXTJOIN(", ", TRUE, C228:INDEX(C:C, ROW(C228)+SheetTable02[[#This Row],[Column1]]-1)))</f>
        <v/>
      </c>
    </row>
    <row r="229" spans="1:8" ht="86.4">
      <c r="A229" s="1" t="s">
        <v>121</v>
      </c>
      <c r="B229" s="1" t="s">
        <v>122</v>
      </c>
      <c r="C229" s="1" t="s">
        <v>458</v>
      </c>
      <c r="D229" s="1"/>
      <c r="E229" s="1"/>
      <c r="F229" s="1"/>
      <c r="G229" s="7">
        <f>COUNTIF(SheetTable02[Focal Document
Element],A229)</f>
        <v>13</v>
      </c>
      <c r="H229" s="7" t="str">
        <f>IF(A229=A228,"",_xlfn.TEXTJOIN(", ", TRUE, C229:INDEX(C:C, ROW(C229)+SheetTable02[[#This Row],[Column1]]-1)))</f>
        <v/>
      </c>
    </row>
    <row r="230" spans="1:8" ht="86.4">
      <c r="A230" s="1" t="s">
        <v>121</v>
      </c>
      <c r="B230" s="1" t="s">
        <v>122</v>
      </c>
      <c r="C230" s="1" t="s">
        <v>606</v>
      </c>
      <c r="D230" s="1"/>
      <c r="E230" s="1"/>
      <c r="F230" s="1"/>
      <c r="G230" s="7">
        <f>COUNTIF(SheetTable02[Focal Document
Element],A230)</f>
        <v>13</v>
      </c>
      <c r="H230" s="7" t="str">
        <f>IF(A230=A229,"",_xlfn.TEXTJOIN(", ", TRUE, C230:INDEX(C:C, ROW(C230)+SheetTable02[[#This Row],[Column1]]-1)))</f>
        <v/>
      </c>
    </row>
    <row r="231" spans="1:8" ht="86.4">
      <c r="A231" s="1" t="s">
        <v>121</v>
      </c>
      <c r="B231" s="1" t="s">
        <v>122</v>
      </c>
      <c r="C231" s="1" t="s">
        <v>442</v>
      </c>
      <c r="D231" s="1"/>
      <c r="E231" s="1"/>
      <c r="F231" s="1"/>
      <c r="G231" s="7">
        <f>COUNTIF(SheetTable02[Focal Document
Element],A231)</f>
        <v>13</v>
      </c>
      <c r="H231" s="7" t="str">
        <f>IF(A231=A230,"",_xlfn.TEXTJOIN(", ", TRUE, C231:INDEX(C:C, ROW(C231)+SheetTable02[[#This Row],[Column1]]-1)))</f>
        <v/>
      </c>
    </row>
    <row r="232" spans="1:8" ht="86.4">
      <c r="A232" s="1" t="s">
        <v>121</v>
      </c>
      <c r="B232" s="1" t="s">
        <v>122</v>
      </c>
      <c r="C232" s="1" t="s">
        <v>441</v>
      </c>
      <c r="D232" s="1"/>
      <c r="E232" s="1"/>
      <c r="F232" s="1"/>
      <c r="G232" s="7">
        <f>COUNTIF(SheetTable02[Focal Document
Element],A232)</f>
        <v>13</v>
      </c>
      <c r="H232" s="7" t="str">
        <f>IF(A232=A231,"",_xlfn.TEXTJOIN(", ", TRUE, C232:INDEX(C:C, ROW(C232)+SheetTable02[[#This Row],[Column1]]-1)))</f>
        <v/>
      </c>
    </row>
    <row r="233" spans="1:8" ht="86.4">
      <c r="A233" s="1" t="s">
        <v>121</v>
      </c>
      <c r="B233" s="1" t="s">
        <v>122</v>
      </c>
      <c r="C233" s="1" t="s">
        <v>477</v>
      </c>
      <c r="D233" s="1"/>
      <c r="E233" s="1"/>
      <c r="F233" s="1"/>
      <c r="G233" s="7">
        <f>COUNTIF(SheetTable02[Focal Document
Element],A233)</f>
        <v>13</v>
      </c>
      <c r="H233" s="7" t="str">
        <f>IF(A233=A232,"",_xlfn.TEXTJOIN(", ", TRUE, C233:INDEX(C:C, ROW(C233)+SheetTable02[[#This Row],[Column1]]-1)))</f>
        <v/>
      </c>
    </row>
    <row r="234" spans="1:8" ht="86.4">
      <c r="A234" s="1" t="s">
        <v>121</v>
      </c>
      <c r="B234" s="1" t="s">
        <v>122</v>
      </c>
      <c r="C234" s="1" t="s">
        <v>476</v>
      </c>
      <c r="D234" s="1"/>
      <c r="E234" s="1"/>
      <c r="F234" s="1"/>
      <c r="G234" s="7">
        <f>COUNTIF(SheetTable02[Focal Document
Element],A234)</f>
        <v>13</v>
      </c>
      <c r="H234" s="7" t="str">
        <f>IF(A234=A233,"",_xlfn.TEXTJOIN(", ", TRUE, C234:INDEX(C:C, ROW(C234)+SheetTable02[[#This Row],[Column1]]-1)))</f>
        <v/>
      </c>
    </row>
    <row r="235" spans="1:8" ht="86.4">
      <c r="A235" s="1" t="s">
        <v>121</v>
      </c>
      <c r="B235" s="1" t="s">
        <v>122</v>
      </c>
      <c r="C235" s="1" t="s">
        <v>601</v>
      </c>
      <c r="D235" s="1"/>
      <c r="E235" s="1"/>
      <c r="F235" s="1"/>
      <c r="G235" s="7">
        <f>COUNTIF(SheetTable02[Focal Document
Element],A235)</f>
        <v>13</v>
      </c>
      <c r="H235" s="7" t="str">
        <f>IF(A235=A234,"",_xlfn.TEXTJOIN(", ", TRUE, C235:INDEX(C:C, ROW(C235)+SheetTable02[[#This Row],[Column1]]-1)))</f>
        <v/>
      </c>
    </row>
    <row r="236" spans="1:8" ht="86.4">
      <c r="A236" s="1" t="s">
        <v>121</v>
      </c>
      <c r="B236" s="1" t="s">
        <v>122</v>
      </c>
      <c r="C236" s="1" t="s">
        <v>437</v>
      </c>
      <c r="D236" s="1"/>
      <c r="E236" s="1"/>
      <c r="F236" s="1"/>
      <c r="G236" s="7">
        <f>COUNTIF(SheetTable02[Focal Document
Element],A236)</f>
        <v>13</v>
      </c>
      <c r="H236" s="7" t="str">
        <f>IF(A236=A235,"",_xlfn.TEXTJOIN(", ", TRUE, C236:INDEX(C:C, ROW(C236)+SheetTable02[[#This Row],[Column1]]-1)))</f>
        <v/>
      </c>
    </row>
    <row r="237" spans="1:8" ht="86.4">
      <c r="A237" s="1" t="s">
        <v>121</v>
      </c>
      <c r="B237" s="1" t="s">
        <v>122</v>
      </c>
      <c r="C237" s="1" t="s">
        <v>604</v>
      </c>
      <c r="D237" s="1"/>
      <c r="E237" s="1"/>
      <c r="F237" s="1"/>
      <c r="G237" s="7">
        <f>COUNTIF(SheetTable02[Focal Document
Element],A237)</f>
        <v>13</v>
      </c>
      <c r="H237" s="7" t="str">
        <f>IF(A237=A236,"",_xlfn.TEXTJOIN(", ", TRUE, C237:INDEX(C:C, ROW(C237)+SheetTable02[[#This Row],[Column1]]-1)))</f>
        <v/>
      </c>
    </row>
    <row r="238" spans="1:8" ht="86.4">
      <c r="A238" s="1" t="s">
        <v>121</v>
      </c>
      <c r="B238" s="1" t="s">
        <v>122</v>
      </c>
      <c r="C238" s="1" t="s">
        <v>631</v>
      </c>
      <c r="D238" s="1"/>
      <c r="E238" s="1"/>
      <c r="F238" s="1"/>
      <c r="G238" s="7">
        <f>COUNTIF(SheetTable02[Focal Document
Element],A238)</f>
        <v>13</v>
      </c>
      <c r="H238" s="7" t="str">
        <f>IF(A238=A237,"",_xlfn.TEXTJOIN(", ", TRUE, C238:INDEX(C:C, ROW(C238)+SheetTable02[[#This Row],[Column1]]-1)))</f>
        <v/>
      </c>
    </row>
    <row r="239" spans="1:8" ht="72">
      <c r="A239" s="1" t="s">
        <v>124</v>
      </c>
      <c r="B239" s="1" t="s">
        <v>125</v>
      </c>
      <c r="C239" s="1" t="s">
        <v>671</v>
      </c>
      <c r="D239" s="1"/>
      <c r="E239" s="1"/>
      <c r="F239" s="1"/>
      <c r="G239" s="7">
        <f>COUNTIF(SheetTable02[Focal Document
Element],A239)</f>
        <v>10</v>
      </c>
      <c r="H239" s="7" t="str">
        <f>IF(A239=A238,"",_xlfn.TEXTJOIN(", ", TRUE, C239:INDEX(C:C, ROW(C239)+SheetTable02[[#This Row],[Column1]]-1)))</f>
        <v>PM-31
, RA-03, RA-05, RA-07, SA-04, SA-09, SR-02, SR-03, SR-05, SR-06</v>
      </c>
    </row>
    <row r="240" spans="1:8" ht="72">
      <c r="A240" s="1" t="s">
        <v>124</v>
      </c>
      <c r="B240" s="1" t="s">
        <v>125</v>
      </c>
      <c r="C240" s="1" t="s">
        <v>442</v>
      </c>
      <c r="D240" s="1"/>
      <c r="E240" s="1"/>
      <c r="F240" s="1"/>
      <c r="G240" s="7">
        <f>COUNTIF(SheetTable02[Focal Document
Element],A240)</f>
        <v>10</v>
      </c>
      <c r="H240" s="7" t="str">
        <f>IF(A240=A239,"",_xlfn.TEXTJOIN(", ", TRUE, C240:INDEX(C:C, ROW(C240)+SheetTable02[[#This Row],[Column1]]-1)))</f>
        <v/>
      </c>
    </row>
    <row r="241" spans="1:8" ht="72">
      <c r="A241" s="1" t="s">
        <v>124</v>
      </c>
      <c r="B241" s="1" t="s">
        <v>125</v>
      </c>
      <c r="C241" s="1" t="s">
        <v>605</v>
      </c>
      <c r="D241" s="1"/>
      <c r="E241" s="1"/>
      <c r="F241" s="1"/>
      <c r="G241" s="7">
        <f>COUNTIF(SheetTable02[Focal Document
Element],A241)</f>
        <v>10</v>
      </c>
      <c r="H241" s="7" t="str">
        <f>IF(A241=A240,"",_xlfn.TEXTJOIN(", ", TRUE, C241:INDEX(C:C, ROW(C241)+SheetTable02[[#This Row],[Column1]]-1)))</f>
        <v/>
      </c>
    </row>
    <row r="242" spans="1:8" ht="72">
      <c r="A242" s="1" t="s">
        <v>124</v>
      </c>
      <c r="B242" s="1" t="s">
        <v>125</v>
      </c>
      <c r="C242" s="1" t="s">
        <v>441</v>
      </c>
      <c r="D242" s="1"/>
      <c r="E242" s="1"/>
      <c r="F242" s="1"/>
      <c r="G242" s="7">
        <f>COUNTIF(SheetTable02[Focal Document
Element],A242)</f>
        <v>10</v>
      </c>
      <c r="H242" s="7" t="str">
        <f>IF(A242=A241,"",_xlfn.TEXTJOIN(", ", TRUE, C242:INDEX(C:C, ROW(C242)+SheetTable02[[#This Row],[Column1]]-1)))</f>
        <v/>
      </c>
    </row>
    <row r="243" spans="1:8" ht="72">
      <c r="A243" s="1" t="s">
        <v>124</v>
      </c>
      <c r="B243" s="1" t="s">
        <v>125</v>
      </c>
      <c r="C243" s="1" t="s">
        <v>477</v>
      </c>
      <c r="D243" s="1"/>
      <c r="E243" s="1"/>
      <c r="F243" s="1"/>
      <c r="G243" s="7">
        <f>COUNTIF(SheetTable02[Focal Document
Element],A243)</f>
        <v>10</v>
      </c>
      <c r="H243" s="7" t="str">
        <f>IF(A243=A242,"",_xlfn.TEXTJOIN(", ", TRUE, C243:INDEX(C:C, ROW(C243)+SheetTable02[[#This Row],[Column1]]-1)))</f>
        <v/>
      </c>
    </row>
    <row r="244" spans="1:8" ht="72">
      <c r="A244" s="1" t="s">
        <v>124</v>
      </c>
      <c r="B244" s="1" t="s">
        <v>125</v>
      </c>
      <c r="C244" s="1" t="s">
        <v>476</v>
      </c>
      <c r="D244" s="1"/>
      <c r="E244" s="1"/>
      <c r="F244" s="1"/>
      <c r="G244" s="7">
        <f>COUNTIF(SheetTable02[Focal Document
Element],A244)</f>
        <v>10</v>
      </c>
      <c r="H244" s="7" t="str">
        <f>IF(A244=A243,"",_xlfn.TEXTJOIN(", ", TRUE, C244:INDEX(C:C, ROW(C244)+SheetTable02[[#This Row],[Column1]]-1)))</f>
        <v/>
      </c>
    </row>
    <row r="245" spans="1:8" ht="72">
      <c r="A245" s="1" t="s">
        <v>124</v>
      </c>
      <c r="B245" s="1" t="s">
        <v>125</v>
      </c>
      <c r="C245" s="1" t="s">
        <v>601</v>
      </c>
      <c r="D245" s="1"/>
      <c r="E245" s="1"/>
      <c r="F245" s="1"/>
      <c r="G245" s="7">
        <f>COUNTIF(SheetTable02[Focal Document
Element],A245)</f>
        <v>10</v>
      </c>
      <c r="H245" s="7" t="str">
        <f>IF(A245=A244,"",_xlfn.TEXTJOIN(", ", TRUE, C245:INDEX(C:C, ROW(C245)+SheetTable02[[#This Row],[Column1]]-1)))</f>
        <v/>
      </c>
    </row>
    <row r="246" spans="1:8" ht="72">
      <c r="A246" s="1" t="s">
        <v>124</v>
      </c>
      <c r="B246" s="1" t="s">
        <v>125</v>
      </c>
      <c r="C246" s="1" t="s">
        <v>437</v>
      </c>
      <c r="D246" s="1"/>
      <c r="E246" s="1"/>
      <c r="F246" s="1"/>
      <c r="G246" s="7">
        <f>COUNTIF(SheetTable02[Focal Document
Element],A246)</f>
        <v>10</v>
      </c>
      <c r="H246" s="7" t="str">
        <f>IF(A246=A245,"",_xlfn.TEXTJOIN(", ", TRUE, C246:INDEX(C:C, ROW(C246)+SheetTable02[[#This Row],[Column1]]-1)))</f>
        <v/>
      </c>
    </row>
    <row r="247" spans="1:8" ht="72">
      <c r="A247" s="1" t="s">
        <v>124</v>
      </c>
      <c r="B247" s="1" t="s">
        <v>125</v>
      </c>
      <c r="C247" s="1" t="s">
        <v>604</v>
      </c>
      <c r="D247" s="1"/>
      <c r="E247" s="1"/>
      <c r="F247" s="1"/>
      <c r="G247" s="7">
        <f>COUNTIF(SheetTable02[Focal Document
Element],A247)</f>
        <v>10</v>
      </c>
      <c r="H247" s="7" t="str">
        <f>IF(A247=A246,"",_xlfn.TEXTJOIN(", ", TRUE, C247:INDEX(C:C, ROW(C247)+SheetTable02[[#This Row],[Column1]]-1)))</f>
        <v/>
      </c>
    </row>
    <row r="248" spans="1:8" ht="72">
      <c r="A248" s="1" t="s">
        <v>124</v>
      </c>
      <c r="B248" s="1" t="s">
        <v>125</v>
      </c>
      <c r="C248" s="1" t="s">
        <v>631</v>
      </c>
      <c r="D248" s="1"/>
      <c r="E248" s="1"/>
      <c r="F248" s="1"/>
      <c r="G248" s="7">
        <f>COUNTIF(SheetTable02[Focal Document
Element],A248)</f>
        <v>10</v>
      </c>
      <c r="H248" s="7" t="str">
        <f>IF(A248=A247,"",_xlfn.TEXTJOIN(", ", TRUE, C248:INDEX(C:C, ROW(C248)+SheetTable02[[#This Row],[Column1]]-1)))</f>
        <v/>
      </c>
    </row>
    <row r="249" spans="1:8" ht="28.8">
      <c r="A249" s="1" t="s">
        <v>670</v>
      </c>
      <c r="B249" s="1" t="s">
        <v>669</v>
      </c>
      <c r="C249" s="1"/>
      <c r="D249" s="1"/>
      <c r="E249" s="1"/>
      <c r="F249" s="1"/>
      <c r="G249" s="7">
        <f>COUNTIF(SheetTable02[Focal Document
Element],A249)</f>
        <v>1</v>
      </c>
      <c r="H249" s="7" t="str">
        <f>IF(A249=A248,"",_xlfn.TEXTJOIN(", ", TRUE, C249:INDEX(C:C, ROW(C249)+SheetTable02[[#This Row],[Column1]]-1)))</f>
        <v/>
      </c>
    </row>
    <row r="250" spans="1:8" ht="100.8">
      <c r="A250" s="1" t="s">
        <v>668</v>
      </c>
      <c r="B250" s="1" t="s">
        <v>667</v>
      </c>
      <c r="C250" s="2"/>
      <c r="D250" s="1"/>
      <c r="E250" s="1"/>
      <c r="F250" s="1"/>
      <c r="G250" s="7">
        <f>COUNTIF(SheetTable02[Focal Document
Element],A250)</f>
        <v>1</v>
      </c>
      <c r="H250" s="7" t="str">
        <f>IF(A250=A249,"",_xlfn.TEXTJOIN(", ", TRUE, C250:INDEX(C:C, ROW(C250)+SheetTable02[[#This Row],[Column1]]-1)))</f>
        <v/>
      </c>
    </row>
    <row r="251" spans="1:8" ht="28.8">
      <c r="A251" s="1" t="s">
        <v>127</v>
      </c>
      <c r="B251" s="1" t="s">
        <v>129</v>
      </c>
      <c r="C251" s="1" t="s">
        <v>666</v>
      </c>
      <c r="D251" s="1"/>
      <c r="E251" s="1"/>
      <c r="F251" s="1"/>
      <c r="G251" s="7">
        <f>COUNTIF(SheetTable02[Focal Document
Element],A251)</f>
        <v>2</v>
      </c>
      <c r="H251" s="7" t="str">
        <f>IF(A251=A250,"",_xlfn.TEXTJOIN(", ", TRUE, C251:INDEX(C:C, ROW(C251)+SheetTable02[[#This Row],[Column1]]-1)))</f>
        <v>CM-08
, PM-05</v>
      </c>
    </row>
    <row r="252" spans="1:8" ht="28.8">
      <c r="A252" s="1" t="s">
        <v>127</v>
      </c>
      <c r="B252" s="1" t="s">
        <v>129</v>
      </c>
      <c r="C252" s="1" t="s">
        <v>664</v>
      </c>
      <c r="D252" s="1"/>
      <c r="E252" s="1"/>
      <c r="F252" s="1"/>
      <c r="G252" s="7">
        <f>COUNTIF(SheetTable02[Focal Document
Element],A252)</f>
        <v>2</v>
      </c>
      <c r="H252" s="7" t="str">
        <f>IF(A252=A251,"",_xlfn.TEXTJOIN(", ", TRUE, C252:INDEX(C:C, ROW(C252)+SheetTable02[[#This Row],[Column1]]-1)))</f>
        <v/>
      </c>
    </row>
    <row r="253" spans="1:8" ht="43.2">
      <c r="A253" s="1" t="s">
        <v>131</v>
      </c>
      <c r="B253" s="1" t="s">
        <v>133</v>
      </c>
      <c r="C253" s="1" t="s">
        <v>665</v>
      </c>
      <c r="D253" s="1"/>
      <c r="E253" s="1"/>
      <c r="F253" s="1"/>
      <c r="G253" s="7">
        <f>COUNTIF(SheetTable02[Focal Document
Element],A253)</f>
        <v>5</v>
      </c>
      <c r="H253" s="7" t="str">
        <f>IF(A253=A252,"",_xlfn.TEXTJOIN(", ", TRUE, C253:INDEX(C:C, ROW(C253)+SheetTable02[[#This Row],[Column1]]-1)))</f>
        <v>AC-20
, CM-08, PM-05, SA-05, SA-09</v>
      </c>
    </row>
    <row r="254" spans="1:8" ht="43.2">
      <c r="A254" s="1" t="s">
        <v>131</v>
      </c>
      <c r="B254" s="1" t="s">
        <v>133</v>
      </c>
      <c r="C254" s="1" t="s">
        <v>536</v>
      </c>
      <c r="D254" s="1"/>
      <c r="E254" s="1"/>
      <c r="F254" s="1"/>
      <c r="G254" s="7">
        <f>COUNTIF(SheetTable02[Focal Document
Element],A254)</f>
        <v>5</v>
      </c>
      <c r="H254" s="7" t="str">
        <f>IF(A254=A253,"",_xlfn.TEXTJOIN(", ", TRUE, C254:INDEX(C:C, ROW(C254)+SheetTable02[[#This Row],[Column1]]-1)))</f>
        <v/>
      </c>
    </row>
    <row r="255" spans="1:8" ht="43.2">
      <c r="A255" s="1" t="s">
        <v>131</v>
      </c>
      <c r="B255" s="1" t="s">
        <v>133</v>
      </c>
      <c r="C255" s="1" t="s">
        <v>664</v>
      </c>
      <c r="D255" s="1"/>
      <c r="E255" s="1"/>
      <c r="F255" s="1"/>
      <c r="G255" s="7">
        <f>COUNTIF(SheetTable02[Focal Document
Element],A255)</f>
        <v>5</v>
      </c>
      <c r="H255" s="7" t="str">
        <f>IF(A255=A254,"",_xlfn.TEXTJOIN(", ", TRUE, C255:INDEX(C:C, ROW(C255)+SheetTable02[[#This Row],[Column1]]-1)))</f>
        <v/>
      </c>
    </row>
    <row r="256" spans="1:8" ht="43.2">
      <c r="A256" s="1" t="s">
        <v>131</v>
      </c>
      <c r="B256" s="1" t="s">
        <v>133</v>
      </c>
      <c r="C256" s="1" t="s">
        <v>634</v>
      </c>
      <c r="D256" s="1"/>
      <c r="E256" s="1"/>
      <c r="F256" s="1"/>
      <c r="G256" s="7">
        <f>COUNTIF(SheetTable02[Focal Document
Element],A256)</f>
        <v>5</v>
      </c>
      <c r="H256" s="7" t="str">
        <f>IF(A256=A255,"",_xlfn.TEXTJOIN(", ", TRUE, C256:INDEX(C:C, ROW(C256)+SheetTable02[[#This Row],[Column1]]-1)))</f>
        <v/>
      </c>
    </row>
    <row r="257" spans="1:8" ht="43.2">
      <c r="A257" s="1" t="s">
        <v>131</v>
      </c>
      <c r="B257" s="1" t="s">
        <v>133</v>
      </c>
      <c r="C257" s="1" t="s">
        <v>476</v>
      </c>
      <c r="D257" s="1"/>
      <c r="E257" s="1"/>
      <c r="F257" s="1"/>
      <c r="G257" s="7">
        <f>COUNTIF(SheetTable02[Focal Document
Element],A257)</f>
        <v>5</v>
      </c>
      <c r="H257" s="7" t="str">
        <f>IF(A257=A256,"",_xlfn.TEXTJOIN(", ", TRUE, C257:INDEX(C:C, ROW(C257)+SheetTable02[[#This Row],[Column1]]-1)))</f>
        <v/>
      </c>
    </row>
    <row r="258" spans="1:8" ht="57.6">
      <c r="A258" s="1" t="s">
        <v>135</v>
      </c>
      <c r="B258" s="1" t="s">
        <v>137</v>
      </c>
      <c r="C258" s="1" t="s">
        <v>663</v>
      </c>
      <c r="D258" s="1"/>
      <c r="E258" s="1"/>
      <c r="F258" s="1"/>
      <c r="G258" s="7">
        <f>COUNTIF(SheetTable02[Focal Document
Element],A258)</f>
        <v>6</v>
      </c>
      <c r="H258" s="7" t="str">
        <f>IF(A258=A257,"",_xlfn.TEXTJOIN(", ", TRUE, C258:INDEX(C:C, ROW(C258)+SheetTable02[[#This Row],[Column1]]-1)))</f>
        <v>AC-04
, CA-03, CA-09, PL-02, PL-08, PM-07</v>
      </c>
    </row>
    <row r="259" spans="1:8" ht="57.6">
      <c r="A259" s="1" t="s">
        <v>135</v>
      </c>
      <c r="B259" s="1" t="s">
        <v>137</v>
      </c>
      <c r="C259" s="1" t="s">
        <v>552</v>
      </c>
      <c r="D259" s="1"/>
      <c r="E259" s="1"/>
      <c r="F259" s="1"/>
      <c r="G259" s="7">
        <f>COUNTIF(SheetTable02[Focal Document
Element],A259)</f>
        <v>6</v>
      </c>
      <c r="H259" s="7" t="str">
        <f>IF(A259=A258,"",_xlfn.TEXTJOIN(", ", TRUE, C259:INDEX(C:C, ROW(C259)+SheetTable02[[#This Row],[Column1]]-1)))</f>
        <v/>
      </c>
    </row>
    <row r="260" spans="1:8" ht="57.6">
      <c r="A260" s="1" t="s">
        <v>135</v>
      </c>
      <c r="B260" s="1" t="s">
        <v>137</v>
      </c>
      <c r="C260" s="1" t="s">
        <v>662</v>
      </c>
      <c r="D260" s="1"/>
      <c r="E260" s="1"/>
      <c r="F260" s="1"/>
      <c r="G260" s="7">
        <f>COUNTIF(SheetTable02[Focal Document
Element],A260)</f>
        <v>6</v>
      </c>
      <c r="H260" s="7" t="str">
        <f>IF(A260=A259,"",_xlfn.TEXTJOIN(", ", TRUE, C260:INDEX(C:C, ROW(C260)+SheetTable02[[#This Row],[Column1]]-1)))</f>
        <v/>
      </c>
    </row>
    <row r="261" spans="1:8" ht="57.6">
      <c r="A261" s="1" t="s">
        <v>135</v>
      </c>
      <c r="B261" s="1" t="s">
        <v>137</v>
      </c>
      <c r="C261" s="1" t="s">
        <v>602</v>
      </c>
      <c r="D261" s="1"/>
      <c r="E261" s="1"/>
      <c r="F261" s="1"/>
      <c r="G261" s="7">
        <f>COUNTIF(SheetTable02[Focal Document
Element],A261)</f>
        <v>6</v>
      </c>
      <c r="H261" s="7" t="str">
        <f>IF(A261=A260,"",_xlfn.TEXTJOIN(", ", TRUE, C261:INDEX(C:C, ROW(C261)+SheetTable02[[#This Row],[Column1]]-1)))</f>
        <v/>
      </c>
    </row>
    <row r="262" spans="1:8" ht="57.6">
      <c r="A262" s="1" t="s">
        <v>135</v>
      </c>
      <c r="B262" s="1" t="s">
        <v>137</v>
      </c>
      <c r="C262" s="1" t="s">
        <v>661</v>
      </c>
      <c r="D262" s="1"/>
      <c r="E262" s="1"/>
      <c r="F262" s="1"/>
      <c r="G262" s="7">
        <f>COUNTIF(SheetTable02[Focal Document
Element],A262)</f>
        <v>6</v>
      </c>
      <c r="H262" s="7" t="str">
        <f>IF(A262=A261,"",_xlfn.TEXTJOIN(", ", TRUE, C262:INDEX(C:C, ROW(C262)+SheetTable02[[#This Row],[Column1]]-1)))</f>
        <v/>
      </c>
    </row>
    <row r="263" spans="1:8" ht="57.6">
      <c r="A263" s="1" t="s">
        <v>135</v>
      </c>
      <c r="B263" s="1" t="s">
        <v>137</v>
      </c>
      <c r="C263" s="1" t="s">
        <v>660</v>
      </c>
      <c r="D263" s="1"/>
      <c r="E263" s="1"/>
      <c r="F263" s="1"/>
      <c r="G263" s="7">
        <f>COUNTIF(SheetTable02[Focal Document
Element],A263)</f>
        <v>6</v>
      </c>
      <c r="H263" s="7" t="str">
        <f>IF(A263=A262,"",_xlfn.TEXTJOIN(", ", TRUE, C263:INDEX(C:C, ROW(C263)+SheetTable02[[#This Row],[Column1]]-1)))</f>
        <v/>
      </c>
    </row>
    <row r="264" spans="1:8" ht="43.2">
      <c r="A264" s="1" t="s">
        <v>139</v>
      </c>
      <c r="B264" s="1" t="s">
        <v>141</v>
      </c>
      <c r="C264" s="1" t="s">
        <v>659</v>
      </c>
      <c r="D264" s="1"/>
      <c r="E264" s="1"/>
      <c r="F264" s="1"/>
      <c r="G264" s="7">
        <f>COUNTIF(SheetTable02[Focal Document
Element],A264)</f>
        <v>3</v>
      </c>
      <c r="H264" s="7" t="str">
        <f>IF(A264=A263,"",_xlfn.TEXTJOIN(", ", TRUE, C264:INDEX(C:C, ROW(C264)+SheetTable02[[#This Row],[Column1]]-1)))</f>
        <v>AC-20
, SA-09, SR-02</v>
      </c>
    </row>
    <row r="265" spans="1:8" ht="28.8">
      <c r="A265" s="1" t="s">
        <v>139</v>
      </c>
      <c r="B265" s="1" t="s">
        <v>141</v>
      </c>
      <c r="C265" s="1" t="s">
        <v>476</v>
      </c>
      <c r="D265" s="1"/>
      <c r="E265" s="1"/>
      <c r="F265" s="1"/>
      <c r="G265" s="7">
        <f>COUNTIF(SheetTable02[Focal Document
Element],A265)</f>
        <v>3</v>
      </c>
      <c r="H265" s="7" t="str">
        <f>IF(A265=A264,"",_xlfn.TEXTJOIN(", ", TRUE, C265:INDEX(C:C, ROW(C265)+SheetTable02[[#This Row],[Column1]]-1)))</f>
        <v/>
      </c>
    </row>
    <row r="266" spans="1:8" ht="28.8">
      <c r="A266" s="1" t="s">
        <v>139</v>
      </c>
      <c r="B266" s="1" t="s">
        <v>141</v>
      </c>
      <c r="C266" s="1" t="s">
        <v>601</v>
      </c>
      <c r="D266" s="1"/>
      <c r="E266" s="1"/>
      <c r="F266" s="1"/>
      <c r="G266" s="7">
        <f>COUNTIF(SheetTable02[Focal Document
Element],A266)</f>
        <v>3</v>
      </c>
      <c r="H266" s="7" t="str">
        <f>IF(A266=A265,"",_xlfn.TEXTJOIN(", ", TRUE, C266:INDEX(C:C, ROW(C266)+SheetTable02[[#This Row],[Column1]]-1)))</f>
        <v/>
      </c>
    </row>
    <row r="267" spans="1:8" ht="43.2">
      <c r="A267" s="1" t="s">
        <v>143</v>
      </c>
      <c r="B267" s="1" t="s">
        <v>145</v>
      </c>
      <c r="C267" s="1" t="s">
        <v>658</v>
      </c>
      <c r="D267" s="1"/>
      <c r="E267" s="1"/>
      <c r="F267" s="1"/>
      <c r="G267" s="7">
        <f>COUNTIF(SheetTable02[Focal Document
Element],A267)</f>
        <v>3</v>
      </c>
      <c r="H267" s="7" t="str">
        <f>IF(A267=A266,"",_xlfn.TEXTJOIN(", ", TRUE, C267:INDEX(C:C, ROW(C267)+SheetTable02[[#This Row],[Column1]]-1)))</f>
        <v>RA-03
, RA-09, RA-02</v>
      </c>
    </row>
    <row r="268" spans="1:8" ht="43.2">
      <c r="A268" s="1" t="s">
        <v>143</v>
      </c>
      <c r="B268" s="1" t="s">
        <v>145</v>
      </c>
      <c r="C268" s="1" t="s">
        <v>638</v>
      </c>
      <c r="D268" s="1"/>
      <c r="E268" s="1"/>
      <c r="F268" s="1"/>
      <c r="G268" s="7">
        <f>COUNTIF(SheetTable02[Focal Document
Element],A268)</f>
        <v>3</v>
      </c>
      <c r="H268" s="7" t="str">
        <f>IF(A268=A267,"",_xlfn.TEXTJOIN(", ", TRUE, C268:INDEX(C:C, ROW(C268)+SheetTable02[[#This Row],[Column1]]-1)))</f>
        <v/>
      </c>
    </row>
    <row r="269" spans="1:8" ht="43.2">
      <c r="A269" s="1" t="s">
        <v>143</v>
      </c>
      <c r="B269" s="1" t="s">
        <v>145</v>
      </c>
      <c r="C269" s="1" t="s">
        <v>637</v>
      </c>
      <c r="D269" s="1"/>
      <c r="E269" s="1"/>
      <c r="F269" s="1"/>
      <c r="G269" s="7">
        <f>COUNTIF(SheetTable02[Focal Document
Element],A269)</f>
        <v>3</v>
      </c>
      <c r="H269" s="7" t="str">
        <f>IF(A269=A268,"",_xlfn.TEXTJOIN(", ", TRUE, C269:INDEX(C:C, ROW(C269)+SheetTable02[[#This Row],[Column1]]-1)))</f>
        <v/>
      </c>
    </row>
    <row r="270" spans="1:8" ht="43.2">
      <c r="A270" s="1" t="s">
        <v>147</v>
      </c>
      <c r="B270" s="1" t="s">
        <v>148</v>
      </c>
      <c r="C270" s="1" t="s">
        <v>657</v>
      </c>
      <c r="D270" s="1"/>
      <c r="E270" s="1"/>
      <c r="F270" s="1"/>
      <c r="G270" s="7">
        <f>COUNTIF(SheetTable02[Focal Document
Element],A270)</f>
        <v>3</v>
      </c>
      <c r="H270" s="7" t="str">
        <f>IF(A270=A269,"",_xlfn.TEXTJOIN(", ", TRUE, C270:INDEX(C:C, ROW(C270)+SheetTable02[[#This Row],[Column1]]-1)))</f>
        <v>CM-12
, CM-13, SI-12</v>
      </c>
    </row>
    <row r="271" spans="1:8" ht="43.2">
      <c r="A271" s="1" t="s">
        <v>147</v>
      </c>
      <c r="B271" s="1" t="s">
        <v>148</v>
      </c>
      <c r="C271" s="1" t="s">
        <v>656</v>
      </c>
      <c r="D271" s="1"/>
      <c r="E271" s="1"/>
      <c r="F271" s="1"/>
      <c r="G271" s="7">
        <f>COUNTIF(SheetTable02[Focal Document
Element],A271)</f>
        <v>3</v>
      </c>
      <c r="H271" s="7" t="str">
        <f>IF(A271=A270,"",_xlfn.TEXTJOIN(", ", TRUE, C271:INDEX(C:C, ROW(C271)+SheetTable02[[#This Row],[Column1]]-1)))</f>
        <v/>
      </c>
    </row>
    <row r="272" spans="1:8" ht="43.2">
      <c r="A272" s="1" t="s">
        <v>147</v>
      </c>
      <c r="B272" s="1" t="s">
        <v>148</v>
      </c>
      <c r="C272" s="1" t="s">
        <v>650</v>
      </c>
      <c r="D272" s="1"/>
      <c r="E272" s="1"/>
      <c r="F272" s="1"/>
      <c r="G272" s="7">
        <f>COUNTIF(SheetTable02[Focal Document
Element],A272)</f>
        <v>3</v>
      </c>
      <c r="H272" s="7" t="str">
        <f>IF(A272=A271,"",_xlfn.TEXTJOIN(", ", TRUE, C272:INDEX(C:C, ROW(C272)+SheetTable02[[#This Row],[Column1]]-1)))</f>
        <v/>
      </c>
    </row>
    <row r="273" spans="1:8" ht="43.2">
      <c r="A273" s="1" t="s">
        <v>150</v>
      </c>
      <c r="B273" s="1" t="s">
        <v>152</v>
      </c>
      <c r="C273" s="1" t="s">
        <v>535</v>
      </c>
      <c r="D273" s="1"/>
      <c r="E273" s="1"/>
      <c r="F273" s="1"/>
      <c r="G273" s="7">
        <f>COUNTIF(SheetTable02[Focal Document
Element],A273)</f>
        <v>15</v>
      </c>
      <c r="H273" s="7" t="str">
        <f>IF(A273=A272,"",_xlfn.TEXTJOIN(", ", TRUE, C273:INDEX(C:C, ROW(C273)+SheetTable02[[#This Row],[Column1]]-1)))</f>
        <v>CM-09, CM-13, MA-02, MA-06, PL-02, PM-22, PM-23, SA-03, SA-04, SA-08, SA-22, SI-12, SI-18, SR-05, SR-12</v>
      </c>
    </row>
    <row r="274" spans="1:8" ht="43.2">
      <c r="A274" s="1" t="s">
        <v>150</v>
      </c>
      <c r="B274" s="1" t="s">
        <v>152</v>
      </c>
      <c r="C274" s="1" t="s">
        <v>656</v>
      </c>
      <c r="D274" s="1"/>
      <c r="E274" s="1"/>
      <c r="F274" s="1"/>
      <c r="G274" s="7">
        <f>COUNTIF(SheetTable02[Focal Document
Element],A274)</f>
        <v>15</v>
      </c>
      <c r="H274" s="7" t="str">
        <f>IF(A274=A273,"",_xlfn.TEXTJOIN(", ", TRUE, C274:INDEX(C:C, ROW(C274)+SheetTable02[[#This Row],[Column1]]-1)))</f>
        <v/>
      </c>
    </row>
    <row r="275" spans="1:8" ht="43.2">
      <c r="A275" s="1" t="s">
        <v>150</v>
      </c>
      <c r="B275" s="1" t="s">
        <v>152</v>
      </c>
      <c r="C275" s="1" t="s">
        <v>655</v>
      </c>
      <c r="D275" s="1"/>
      <c r="E275" s="1"/>
      <c r="F275" s="1"/>
      <c r="G275" s="7">
        <f>COUNTIF(SheetTable02[Focal Document
Element],A275)</f>
        <v>15</v>
      </c>
      <c r="H275" s="7" t="str">
        <f>IF(A275=A274,"",_xlfn.TEXTJOIN(", ", TRUE, C275:INDEX(C:C, ROW(C275)+SheetTable02[[#This Row],[Column1]]-1)))</f>
        <v/>
      </c>
    </row>
    <row r="276" spans="1:8" ht="43.2">
      <c r="A276" s="1" t="s">
        <v>150</v>
      </c>
      <c r="B276" s="1" t="s">
        <v>152</v>
      </c>
      <c r="C276" s="3" t="s">
        <v>654</v>
      </c>
      <c r="D276" s="1"/>
      <c r="E276" s="1"/>
      <c r="F276" s="1"/>
      <c r="G276" s="7">
        <f>COUNTIF(SheetTable02[Focal Document
Element],A276)</f>
        <v>15</v>
      </c>
      <c r="H276" s="7" t="str">
        <f>IF(A276=A275,"",_xlfn.TEXTJOIN(", ", TRUE, C276:INDEX(C:C, ROW(C276)+SheetTable02[[#This Row],[Column1]]-1)))</f>
        <v/>
      </c>
    </row>
    <row r="277" spans="1:8" ht="43.2">
      <c r="A277" s="1" t="s">
        <v>150</v>
      </c>
      <c r="B277" s="1" t="s">
        <v>152</v>
      </c>
      <c r="C277" s="3" t="s">
        <v>602</v>
      </c>
      <c r="D277" s="1"/>
      <c r="E277" s="1"/>
      <c r="F277" s="1"/>
      <c r="G277" s="7">
        <f>COUNTIF(SheetTable02[Focal Document
Element],A277)</f>
        <v>15</v>
      </c>
      <c r="H277" s="7" t="str">
        <f>IF(A277=A276,"",_xlfn.TEXTJOIN(", ", TRUE, C277:INDEX(C:C, ROW(C277)+SheetTable02[[#This Row],[Column1]]-1)))</f>
        <v/>
      </c>
    </row>
    <row r="278" spans="1:8" ht="43.2">
      <c r="A278" s="1" t="s">
        <v>150</v>
      </c>
      <c r="B278" s="1" t="s">
        <v>152</v>
      </c>
      <c r="C278" s="3" t="s">
        <v>653</v>
      </c>
      <c r="D278" s="1"/>
      <c r="E278" s="1"/>
      <c r="F278" s="1"/>
      <c r="G278" s="7">
        <f>COUNTIF(SheetTable02[Focal Document
Element],A278)</f>
        <v>15</v>
      </c>
      <c r="H278" s="7" t="str">
        <f>IF(A278=A277,"",_xlfn.TEXTJOIN(", ", TRUE, C278:INDEX(C:C, ROW(C278)+SheetTable02[[#This Row],[Column1]]-1)))</f>
        <v/>
      </c>
    </row>
    <row r="279" spans="1:8" ht="43.2">
      <c r="A279" s="1" t="s">
        <v>150</v>
      </c>
      <c r="B279" s="1" t="s">
        <v>152</v>
      </c>
      <c r="C279" s="3" t="s">
        <v>652</v>
      </c>
      <c r="D279" s="1"/>
      <c r="E279" s="1"/>
      <c r="F279" s="1"/>
      <c r="G279" s="7">
        <f>COUNTIF(SheetTable02[Focal Document
Element],A279)</f>
        <v>15</v>
      </c>
      <c r="H279" s="7" t="str">
        <f>IF(A279=A278,"",_xlfn.TEXTJOIN(", ", TRUE, C279:INDEX(C:C, ROW(C279)+SheetTable02[[#This Row],[Column1]]-1)))</f>
        <v/>
      </c>
    </row>
    <row r="280" spans="1:8" ht="43.2">
      <c r="A280" s="1" t="s">
        <v>150</v>
      </c>
      <c r="B280" s="1" t="s">
        <v>152</v>
      </c>
      <c r="C280" s="3" t="s">
        <v>519</v>
      </c>
      <c r="D280" s="1"/>
      <c r="E280" s="1"/>
      <c r="F280" s="1"/>
      <c r="G280" s="7">
        <f>COUNTIF(SheetTable02[Focal Document
Element],A280)</f>
        <v>15</v>
      </c>
      <c r="H280" s="7" t="str">
        <f>IF(A280=A279,"",_xlfn.TEXTJOIN(", ", TRUE, C280:INDEX(C:C, ROW(C280)+SheetTable02[[#This Row],[Column1]]-1)))</f>
        <v/>
      </c>
    </row>
    <row r="281" spans="1:8" ht="43.2">
      <c r="A281" s="1" t="s">
        <v>150</v>
      </c>
      <c r="B281" s="1" t="s">
        <v>152</v>
      </c>
      <c r="C281" s="3" t="s">
        <v>477</v>
      </c>
      <c r="D281" s="1"/>
      <c r="E281" s="1"/>
      <c r="F281" s="1"/>
      <c r="G281" s="7">
        <f>COUNTIF(SheetTable02[Focal Document
Element],A281)</f>
        <v>15</v>
      </c>
      <c r="H281" s="7" t="str">
        <f>IF(A281=A280,"",_xlfn.TEXTJOIN(", ", TRUE, C281:INDEX(C:C, ROW(C281)+SheetTable02[[#This Row],[Column1]]-1)))</f>
        <v/>
      </c>
    </row>
    <row r="282" spans="1:8" ht="43.2">
      <c r="A282" s="1" t="s">
        <v>150</v>
      </c>
      <c r="B282" s="1" t="s">
        <v>152</v>
      </c>
      <c r="C282" s="3" t="s">
        <v>499</v>
      </c>
      <c r="D282" s="1"/>
      <c r="E282" s="1"/>
      <c r="F282" s="1"/>
      <c r="G282" s="7">
        <f>COUNTIF(SheetTable02[Focal Document
Element],A282)</f>
        <v>15</v>
      </c>
      <c r="H282" s="7" t="str">
        <f>IF(A282=A281,"",_xlfn.TEXTJOIN(", ", TRUE, C282:INDEX(C:C, ROW(C282)+SheetTable02[[#This Row],[Column1]]-1)))</f>
        <v/>
      </c>
    </row>
    <row r="283" spans="1:8" ht="43.2">
      <c r="A283" s="1" t="s">
        <v>150</v>
      </c>
      <c r="B283" s="1" t="s">
        <v>152</v>
      </c>
      <c r="C283" s="3" t="s">
        <v>651</v>
      </c>
      <c r="D283" s="1"/>
      <c r="E283" s="1"/>
      <c r="F283" s="1"/>
      <c r="G283" s="7">
        <f>COUNTIF(SheetTable02[Focal Document
Element],A283)</f>
        <v>15</v>
      </c>
      <c r="H283" s="7" t="str">
        <f>IF(A283=A282,"",_xlfn.TEXTJOIN(", ", TRUE, C283:INDEX(C:C, ROW(C283)+SheetTable02[[#This Row],[Column1]]-1)))</f>
        <v/>
      </c>
    </row>
    <row r="284" spans="1:8" ht="43.2">
      <c r="A284" s="1" t="s">
        <v>150</v>
      </c>
      <c r="B284" s="1" t="s">
        <v>152</v>
      </c>
      <c r="C284" s="3" t="s">
        <v>650</v>
      </c>
      <c r="D284" s="1"/>
      <c r="E284" s="1"/>
      <c r="F284" s="1"/>
      <c r="G284" s="7">
        <f>COUNTIF(SheetTable02[Focal Document
Element],A284)</f>
        <v>15</v>
      </c>
      <c r="H284" s="7" t="str">
        <f>IF(A284=A283,"",_xlfn.TEXTJOIN(", ", TRUE, C284:INDEX(C:C, ROW(C284)+SheetTable02[[#This Row],[Column1]]-1)))</f>
        <v/>
      </c>
    </row>
    <row r="285" spans="1:8" ht="43.2">
      <c r="A285" s="1" t="s">
        <v>150</v>
      </c>
      <c r="B285" s="1" t="s">
        <v>152</v>
      </c>
      <c r="C285" s="3" t="s">
        <v>649</v>
      </c>
      <c r="D285" s="1"/>
      <c r="E285" s="1"/>
      <c r="F285" s="1"/>
      <c r="G285" s="7">
        <f>COUNTIF(SheetTable02[Focal Document
Element],A285)</f>
        <v>15</v>
      </c>
      <c r="H285" s="7" t="str">
        <f>IF(A285=A284,"",_xlfn.TEXTJOIN(", ", TRUE, C285:INDEX(C:C, ROW(C285)+SheetTable02[[#This Row],[Column1]]-1)))</f>
        <v/>
      </c>
    </row>
    <row r="286" spans="1:8" ht="43.2">
      <c r="A286" s="1" t="s">
        <v>150</v>
      </c>
      <c r="B286" s="1" t="s">
        <v>152</v>
      </c>
      <c r="C286" s="3" t="s">
        <v>604</v>
      </c>
      <c r="D286" s="1"/>
      <c r="E286" s="1"/>
      <c r="F286" s="1"/>
      <c r="G286" s="7">
        <f>COUNTIF(SheetTable02[Focal Document
Element],A286)</f>
        <v>15</v>
      </c>
      <c r="H286" s="7" t="str">
        <f>IF(A286=A285,"",_xlfn.TEXTJOIN(", ", TRUE, C286:INDEX(C:C, ROW(C286)+SheetTable02[[#This Row],[Column1]]-1)))</f>
        <v/>
      </c>
    </row>
    <row r="287" spans="1:8" ht="43.2">
      <c r="A287" s="1" t="s">
        <v>150</v>
      </c>
      <c r="B287" s="1" t="s">
        <v>152</v>
      </c>
      <c r="C287" s="3" t="s">
        <v>648</v>
      </c>
      <c r="D287" s="1"/>
      <c r="E287" s="1"/>
      <c r="F287" s="1"/>
      <c r="G287" s="7">
        <f>COUNTIF(SheetTable02[Focal Document
Element],A287)</f>
        <v>15</v>
      </c>
      <c r="H287" s="7" t="str">
        <f>IF(A287=A286,"",_xlfn.TEXTJOIN(", ", TRUE, C287:INDEX(C:C, ROW(C287)+SheetTable02[[#This Row],[Column1]]-1)))</f>
        <v/>
      </c>
    </row>
    <row r="288" spans="1:8" ht="43.2">
      <c r="A288" s="1" t="s">
        <v>647</v>
      </c>
      <c r="B288" s="1" t="s">
        <v>646</v>
      </c>
      <c r="C288" s="1"/>
      <c r="D288" s="1"/>
      <c r="E288" s="1"/>
      <c r="F288" s="1"/>
      <c r="G288" s="7">
        <f>COUNTIF(SheetTable02[Focal Document
Element],A288)</f>
        <v>1</v>
      </c>
      <c r="H288" s="7" t="str">
        <f>IF(A288=A287,"",_xlfn.TEXTJOIN(", ", TRUE, C288:INDEX(C:C, ROW(C288)+SheetTable02[[#This Row],[Column1]]-1)))</f>
        <v/>
      </c>
    </row>
    <row r="289" spans="1:8" ht="28.8">
      <c r="A289" s="1" t="s">
        <v>154</v>
      </c>
      <c r="B289" s="1" t="s">
        <v>156</v>
      </c>
      <c r="C289" s="4" t="s">
        <v>610</v>
      </c>
      <c r="D289" s="1"/>
      <c r="E289" s="1"/>
      <c r="F289" s="1"/>
      <c r="G289" s="7">
        <f>COUNTIF(SheetTable02[Focal Document
Element],A289)</f>
        <v>10</v>
      </c>
      <c r="H289" s="7" t="str">
        <f>IF(A289=A288,"",_xlfn.TEXTJOIN(", ", TRUE, C289:INDEX(C:C, ROW(C289)+SheetTable02[[#This Row],[Column1]]-1)))</f>
        <v>CA-02, CA-07, CA-08, RA-03, RA-05, SA-11(02), SA-15(07), SA-15(08), SI-04, SI-05</v>
      </c>
    </row>
    <row r="290" spans="1:8" ht="28.8">
      <c r="A290" s="1" t="s">
        <v>154</v>
      </c>
      <c r="B290" s="1" t="s">
        <v>156</v>
      </c>
      <c r="C290" s="1" t="s">
        <v>462</v>
      </c>
      <c r="D290" s="1"/>
      <c r="E290" s="1"/>
      <c r="F290" s="1"/>
      <c r="G290" s="7">
        <f>COUNTIF(SheetTable02[Focal Document
Element],A290)</f>
        <v>10</v>
      </c>
      <c r="H290" s="7" t="str">
        <f>IF(A290=A289,"",_xlfn.TEXTJOIN(", ", TRUE, C290:INDEX(C:C, ROW(C290)+SheetTable02[[#This Row],[Column1]]-1)))</f>
        <v/>
      </c>
    </row>
    <row r="291" spans="1:8" ht="28.8">
      <c r="A291" s="1" t="s">
        <v>154</v>
      </c>
      <c r="B291" s="1" t="s">
        <v>156</v>
      </c>
      <c r="C291" s="1" t="s">
        <v>608</v>
      </c>
      <c r="D291" s="1"/>
      <c r="E291" s="1"/>
      <c r="F291" s="1"/>
      <c r="G291" s="7">
        <f>COUNTIF(SheetTable02[Focal Document
Element],A291)</f>
        <v>10</v>
      </c>
      <c r="H291" s="7" t="str">
        <f>IF(A291=A290,"",_xlfn.TEXTJOIN(", ", TRUE, C291:INDEX(C:C, ROW(C291)+SheetTable02[[#This Row],[Column1]]-1)))</f>
        <v/>
      </c>
    </row>
    <row r="292" spans="1:8" ht="28.8">
      <c r="A292" s="1" t="s">
        <v>154</v>
      </c>
      <c r="B292" s="1" t="s">
        <v>156</v>
      </c>
      <c r="C292" s="1" t="s">
        <v>442</v>
      </c>
      <c r="D292" s="1"/>
      <c r="E292" s="1"/>
      <c r="F292" s="1"/>
      <c r="G292" s="7">
        <f>COUNTIF(SheetTable02[Focal Document
Element],A292)</f>
        <v>10</v>
      </c>
      <c r="H292" s="7" t="str">
        <f>IF(A292=A291,"",_xlfn.TEXTJOIN(", ", TRUE, C292:INDEX(C:C, ROW(C292)+SheetTable02[[#This Row],[Column1]]-1)))</f>
        <v/>
      </c>
    </row>
    <row r="293" spans="1:8" ht="28.8">
      <c r="A293" s="1" t="s">
        <v>154</v>
      </c>
      <c r="B293" s="1" t="s">
        <v>156</v>
      </c>
      <c r="C293" s="1" t="s">
        <v>605</v>
      </c>
      <c r="D293" s="1"/>
      <c r="E293" s="1"/>
      <c r="F293" s="1"/>
      <c r="G293" s="7">
        <f>COUNTIF(SheetTable02[Focal Document
Element],A293)</f>
        <v>10</v>
      </c>
      <c r="H293" s="7" t="str">
        <f>IF(A293=A292,"",_xlfn.TEXTJOIN(", ", TRUE, C293:INDEX(C:C, ROW(C293)+SheetTable02[[#This Row],[Column1]]-1)))</f>
        <v/>
      </c>
    </row>
    <row r="294" spans="1:8" ht="28.8">
      <c r="A294" s="1" t="s">
        <v>154</v>
      </c>
      <c r="B294" s="1" t="s">
        <v>156</v>
      </c>
      <c r="C294" s="1" t="s">
        <v>645</v>
      </c>
      <c r="D294" s="1"/>
      <c r="E294" s="1"/>
      <c r="F294" s="1"/>
      <c r="G294" s="7">
        <f>COUNTIF(SheetTable02[Focal Document
Element],A294)</f>
        <v>10</v>
      </c>
      <c r="H294" s="7" t="str">
        <f>IF(A294=A293,"",_xlfn.TEXTJOIN(", ", TRUE, C294:INDEX(C:C, ROW(C294)+SheetTable02[[#This Row],[Column1]]-1)))</f>
        <v/>
      </c>
    </row>
    <row r="295" spans="1:8" ht="28.8">
      <c r="A295" s="1" t="s">
        <v>154</v>
      </c>
      <c r="B295" s="1" t="s">
        <v>156</v>
      </c>
      <c r="C295" s="1" t="s">
        <v>644</v>
      </c>
      <c r="D295" s="1"/>
      <c r="E295" s="1"/>
      <c r="F295" s="1"/>
      <c r="G295" s="7">
        <f>COUNTIF(SheetTable02[Focal Document
Element],A295)</f>
        <v>10</v>
      </c>
      <c r="H295" s="7" t="str">
        <f>IF(A295=A294,"",_xlfn.TEXTJOIN(", ", TRUE, C295:INDEX(C:C, ROW(C295)+SheetTable02[[#This Row],[Column1]]-1)))</f>
        <v/>
      </c>
    </row>
    <row r="296" spans="1:8" ht="28.8">
      <c r="A296" s="1" t="s">
        <v>154</v>
      </c>
      <c r="B296" s="1" t="s">
        <v>156</v>
      </c>
      <c r="C296" s="1" t="s">
        <v>643</v>
      </c>
      <c r="D296" s="1"/>
      <c r="E296" s="1"/>
      <c r="F296" s="1"/>
      <c r="G296" s="7">
        <f>COUNTIF(SheetTable02[Focal Document
Element],A296)</f>
        <v>10</v>
      </c>
      <c r="H296" s="7" t="str">
        <f>IF(A296=A295,"",_xlfn.TEXTJOIN(", ", TRUE, C296:INDEX(C:C, ROW(C296)+SheetTable02[[#This Row],[Column1]]-1)))</f>
        <v/>
      </c>
    </row>
    <row r="297" spans="1:8" ht="28.8">
      <c r="A297" s="1" t="s">
        <v>154</v>
      </c>
      <c r="B297" s="1" t="s">
        <v>156</v>
      </c>
      <c r="C297" s="1" t="s">
        <v>461</v>
      </c>
      <c r="D297" s="1"/>
      <c r="E297" s="1"/>
      <c r="F297" s="1"/>
      <c r="G297" s="7">
        <f>COUNTIF(SheetTable02[Focal Document
Element],A297)</f>
        <v>10</v>
      </c>
      <c r="H297" s="7" t="str">
        <f>IF(A297=A296,"",_xlfn.TEXTJOIN(", ", TRUE, C297:INDEX(C:C, ROW(C297)+SheetTable02[[#This Row],[Column1]]-1)))</f>
        <v/>
      </c>
    </row>
    <row r="298" spans="1:8" ht="28.8">
      <c r="A298" s="1" t="s">
        <v>154</v>
      </c>
      <c r="B298" s="1" t="s">
        <v>156</v>
      </c>
      <c r="C298" s="1" t="s">
        <v>640</v>
      </c>
      <c r="D298" s="1"/>
      <c r="E298" s="1"/>
      <c r="F298" s="1"/>
      <c r="G298" s="7">
        <f>COUNTIF(SheetTable02[Focal Document
Element],A298)</f>
        <v>10</v>
      </c>
      <c r="H298" s="7" t="str">
        <f>IF(A298=A297,"",_xlfn.TEXTJOIN(", ", TRUE, C298:INDEX(C:C, ROW(C298)+SheetTable02[[#This Row],[Column1]]-1)))</f>
        <v/>
      </c>
    </row>
    <row r="299" spans="1:8" ht="43.2">
      <c r="A299" s="1" t="s">
        <v>158</v>
      </c>
      <c r="B299" s="1" t="s">
        <v>160</v>
      </c>
      <c r="C299" s="1" t="s">
        <v>642</v>
      </c>
      <c r="D299" s="1"/>
      <c r="E299" s="1"/>
      <c r="F299" s="1"/>
      <c r="G299" s="7">
        <f>COUNTIF(SheetTable02[Focal Document
Element],A299)</f>
        <v>3</v>
      </c>
      <c r="H299" s="7" t="str">
        <f>IF(A299=A298,"",_xlfn.TEXTJOIN(", ", TRUE, C299:INDEX(C:C, ROW(C299)+SheetTable02[[#This Row],[Column1]]-1)))</f>
        <v>SI-05
, PM-15, PM-16</v>
      </c>
    </row>
    <row r="300" spans="1:8" ht="43.2">
      <c r="A300" s="1" t="s">
        <v>158</v>
      </c>
      <c r="B300" s="1" t="s">
        <v>160</v>
      </c>
      <c r="C300" s="1" t="s">
        <v>457</v>
      </c>
      <c r="D300" s="1"/>
      <c r="E300" s="1"/>
      <c r="F300" s="1"/>
      <c r="G300" s="7">
        <f>COUNTIF(SheetTable02[Focal Document
Element],A300)</f>
        <v>3</v>
      </c>
      <c r="H300" s="7" t="str">
        <f>IF(A300=A299,"",_xlfn.TEXTJOIN(", ", TRUE, C300:INDEX(C:C, ROW(C300)+SheetTable02[[#This Row],[Column1]]-1)))</f>
        <v/>
      </c>
    </row>
    <row r="301" spans="1:8" ht="43.2">
      <c r="A301" s="1" t="s">
        <v>158</v>
      </c>
      <c r="B301" s="1" t="s">
        <v>160</v>
      </c>
      <c r="C301" s="1" t="s">
        <v>456</v>
      </c>
      <c r="D301" s="1"/>
      <c r="E301" s="1"/>
      <c r="F301" s="1"/>
      <c r="G301" s="7">
        <f>COUNTIF(SheetTable02[Focal Document
Element],A301)</f>
        <v>3</v>
      </c>
      <c r="H301" s="7" t="str">
        <f>IF(A301=A300,"",_xlfn.TEXTJOIN(", ", TRUE, C301:INDEX(C:C, ROW(C301)+SheetTable02[[#This Row],[Column1]]-1)))</f>
        <v/>
      </c>
    </row>
    <row r="302" spans="1:8" ht="43.2">
      <c r="A302" s="1" t="s">
        <v>162</v>
      </c>
      <c r="B302" s="1" t="s">
        <v>164</v>
      </c>
      <c r="C302" s="1" t="s">
        <v>641</v>
      </c>
      <c r="D302" s="1"/>
      <c r="E302" s="1"/>
      <c r="F302" s="1"/>
      <c r="G302" s="7">
        <f>COUNTIF(SheetTable02[Focal Document
Element],A302)</f>
        <v>4</v>
      </c>
      <c r="H302" s="7" t="str">
        <f>IF(A302=A301,"",_xlfn.TEXTJOIN(", ", TRUE, C302:INDEX(C:C, ROW(C302)+SheetTable02[[#This Row],[Column1]]-1)))</f>
        <v>PM-12
, PM-16, RA-03, SI-05</v>
      </c>
    </row>
    <row r="303" spans="1:8" ht="43.2">
      <c r="A303" s="1" t="s">
        <v>162</v>
      </c>
      <c r="B303" s="1" t="s">
        <v>164</v>
      </c>
      <c r="C303" s="1" t="s">
        <v>456</v>
      </c>
      <c r="D303" s="1"/>
      <c r="E303" s="1"/>
      <c r="F303" s="1"/>
      <c r="G303" s="7">
        <f>COUNTIF(SheetTable02[Focal Document
Element],A303)</f>
        <v>4</v>
      </c>
      <c r="H303" s="7" t="str">
        <f>IF(A303=A302,"",_xlfn.TEXTJOIN(", ", TRUE, C303:INDEX(C:C, ROW(C303)+SheetTable02[[#This Row],[Column1]]-1)))</f>
        <v/>
      </c>
    </row>
    <row r="304" spans="1:8" ht="43.2">
      <c r="A304" s="1" t="s">
        <v>162</v>
      </c>
      <c r="B304" s="1" t="s">
        <v>164</v>
      </c>
      <c r="C304" s="1" t="s">
        <v>442</v>
      </c>
      <c r="D304" s="1"/>
      <c r="E304" s="1"/>
      <c r="F304" s="1"/>
      <c r="G304" s="7">
        <f>COUNTIF(SheetTable02[Focal Document
Element],A304)</f>
        <v>4</v>
      </c>
      <c r="H304" s="7" t="str">
        <f>IF(A304=A303,"",_xlfn.TEXTJOIN(", ", TRUE, C304:INDEX(C:C, ROW(C304)+SheetTable02[[#This Row],[Column1]]-1)))</f>
        <v/>
      </c>
    </row>
    <row r="305" spans="1:8" ht="43.2">
      <c r="A305" s="1" t="s">
        <v>162</v>
      </c>
      <c r="B305" s="1" t="s">
        <v>164</v>
      </c>
      <c r="C305" s="1" t="s">
        <v>640</v>
      </c>
      <c r="D305" s="1"/>
      <c r="E305" s="1"/>
      <c r="F305" s="1"/>
      <c r="G305" s="7">
        <f>COUNTIF(SheetTable02[Focal Document
Element],A305)</f>
        <v>4</v>
      </c>
      <c r="H305" s="7" t="str">
        <f>IF(A305=A304,"",_xlfn.TEXTJOIN(", ", TRUE, C305:INDEX(C:C, ROW(C305)+SheetTable02[[#This Row],[Column1]]-1)))</f>
        <v/>
      </c>
    </row>
    <row r="306" spans="1:8" ht="43.2">
      <c r="A306" s="1" t="s">
        <v>166</v>
      </c>
      <c r="B306" s="1" t="s">
        <v>168</v>
      </c>
      <c r="C306" s="1" t="s">
        <v>636</v>
      </c>
      <c r="D306" s="1"/>
      <c r="E306" s="1"/>
      <c r="F306" s="1"/>
      <c r="G306" s="7">
        <f>COUNTIF(SheetTable02[Focal Document
Element],A306)</f>
        <v>6</v>
      </c>
      <c r="H306" s="7" t="str">
        <f>IF(A306=A305,"",_xlfn.TEXTJOIN(", ", TRUE, C306:INDEX(C:C, ROW(C306)+SheetTable02[[#This Row],[Column1]]-1)))</f>
        <v>PM-09
, PM-11, RA-02, RA-03, RA-08, RA-09</v>
      </c>
    </row>
    <row r="307" spans="1:8" ht="43.2">
      <c r="A307" s="1" t="s">
        <v>166</v>
      </c>
      <c r="B307" s="1" t="s">
        <v>168</v>
      </c>
      <c r="C307" s="1" t="s">
        <v>425</v>
      </c>
      <c r="D307" s="1"/>
      <c r="E307" s="1"/>
      <c r="F307" s="1"/>
      <c r="G307" s="7">
        <f>COUNTIF(SheetTable02[Focal Document
Element],A307)</f>
        <v>6</v>
      </c>
      <c r="H307" s="7" t="str">
        <f>IF(A307=A306,"",_xlfn.TEXTJOIN(", ", TRUE, C307:INDEX(C:C, ROW(C307)+SheetTable02[[#This Row],[Column1]]-1)))</f>
        <v/>
      </c>
    </row>
    <row r="308" spans="1:8" ht="43.2">
      <c r="A308" s="1" t="s">
        <v>166</v>
      </c>
      <c r="B308" s="1" t="s">
        <v>168</v>
      </c>
      <c r="C308" s="1" t="s">
        <v>637</v>
      </c>
      <c r="D308" s="1"/>
      <c r="E308" s="1"/>
      <c r="F308" s="1"/>
      <c r="G308" s="7">
        <f>COUNTIF(SheetTable02[Focal Document
Element],A308)</f>
        <v>6</v>
      </c>
      <c r="H308" s="7" t="str">
        <f>IF(A308=A307,"",_xlfn.TEXTJOIN(", ", TRUE, C308:INDEX(C:C, ROW(C308)+SheetTable02[[#This Row],[Column1]]-1)))</f>
        <v/>
      </c>
    </row>
    <row r="309" spans="1:8" ht="43.2">
      <c r="A309" s="1" t="s">
        <v>166</v>
      </c>
      <c r="B309" s="1" t="s">
        <v>168</v>
      </c>
      <c r="C309" s="1" t="s">
        <v>442</v>
      </c>
      <c r="D309" s="1"/>
      <c r="E309" s="1"/>
      <c r="F309" s="1"/>
      <c r="G309" s="7">
        <f>COUNTIF(SheetTable02[Focal Document
Element],A309)</f>
        <v>6</v>
      </c>
      <c r="H309" s="7" t="str">
        <f>IF(A309=A308,"",_xlfn.TEXTJOIN(", ", TRUE, C309:INDEX(C:C, ROW(C309)+SheetTable02[[#This Row],[Column1]]-1)))</f>
        <v/>
      </c>
    </row>
    <row r="310" spans="1:8" ht="43.2">
      <c r="A310" s="1" t="s">
        <v>166</v>
      </c>
      <c r="B310" s="1" t="s">
        <v>168</v>
      </c>
      <c r="C310" s="1" t="s">
        <v>639</v>
      </c>
      <c r="D310" s="1"/>
      <c r="E310" s="1"/>
      <c r="F310" s="1"/>
      <c r="G310" s="7">
        <f>COUNTIF(SheetTable02[Focal Document
Element],A310)</f>
        <v>6</v>
      </c>
      <c r="H310" s="7" t="str">
        <f>IF(A310=A309,"",_xlfn.TEXTJOIN(", ", TRUE, C310:INDEX(C:C, ROW(C310)+SheetTable02[[#This Row],[Column1]]-1)))</f>
        <v/>
      </c>
    </row>
    <row r="311" spans="1:8" ht="43.2">
      <c r="A311" s="1" t="s">
        <v>166</v>
      </c>
      <c r="B311" s="1" t="s">
        <v>168</v>
      </c>
      <c r="C311" s="1" t="s">
        <v>638</v>
      </c>
      <c r="D311" s="1"/>
      <c r="E311" s="1"/>
      <c r="F311" s="1"/>
      <c r="G311" s="7">
        <f>COUNTIF(SheetTable02[Focal Document
Element],A311)</f>
        <v>6</v>
      </c>
      <c r="H311" s="7" t="str">
        <f>IF(A311=A310,"",_xlfn.TEXTJOIN(", ", TRUE, C311:INDEX(C:C, ROW(C311)+SheetTable02[[#This Row],[Column1]]-1)))</f>
        <v/>
      </c>
    </row>
    <row r="312" spans="1:8" ht="57.6">
      <c r="A312" s="1" t="s">
        <v>170</v>
      </c>
      <c r="B312" s="1" t="s">
        <v>172</v>
      </c>
      <c r="C312" s="1" t="s">
        <v>454</v>
      </c>
      <c r="D312" s="1"/>
      <c r="E312" s="1"/>
      <c r="F312" s="1"/>
      <c r="G312" s="7">
        <f>COUNTIF(SheetTable02[Focal Document
Element],A312)</f>
        <v>4</v>
      </c>
      <c r="H312" s="7" t="str">
        <f>IF(A312=A311,"",_xlfn.TEXTJOIN(", ", TRUE, C312:INDEX(C:C, ROW(C312)+SheetTable02[[#This Row],[Column1]]-1)))</f>
        <v>PM-16
, RA-02, RA-03, RA-07</v>
      </c>
    </row>
    <row r="313" spans="1:8" ht="57.6">
      <c r="A313" s="1" t="s">
        <v>170</v>
      </c>
      <c r="B313" s="1" t="s">
        <v>172</v>
      </c>
      <c r="C313" s="1" t="s">
        <v>637</v>
      </c>
      <c r="D313" s="1"/>
      <c r="E313" s="1"/>
      <c r="F313" s="1"/>
      <c r="G313" s="7">
        <f>COUNTIF(SheetTable02[Focal Document
Element],A313)</f>
        <v>4</v>
      </c>
      <c r="H313" s="7" t="str">
        <f>IF(A313=A312,"",_xlfn.TEXTJOIN(", ", TRUE, C313:INDEX(C:C, ROW(C313)+SheetTable02[[#This Row],[Column1]]-1)))</f>
        <v/>
      </c>
    </row>
    <row r="314" spans="1:8" ht="57.6">
      <c r="A314" s="1" t="s">
        <v>170</v>
      </c>
      <c r="B314" s="1" t="s">
        <v>172</v>
      </c>
      <c r="C314" s="1" t="s">
        <v>442</v>
      </c>
      <c r="D314" s="1"/>
      <c r="E314" s="1"/>
      <c r="F314" s="1"/>
      <c r="G314" s="7">
        <f>COUNTIF(SheetTable02[Focal Document
Element],A314)</f>
        <v>4</v>
      </c>
      <c r="H314" s="7" t="str">
        <f>IF(A314=A313,"",_xlfn.TEXTJOIN(", ", TRUE, C314:INDEX(C:C, ROW(C314)+SheetTable02[[#This Row],[Column1]]-1)))</f>
        <v/>
      </c>
    </row>
    <row r="315" spans="1:8" ht="57.6">
      <c r="A315" s="1" t="s">
        <v>170</v>
      </c>
      <c r="B315" s="1" t="s">
        <v>172</v>
      </c>
      <c r="C315" s="1" t="s">
        <v>441</v>
      </c>
      <c r="D315" s="1"/>
      <c r="E315" s="1"/>
      <c r="F315" s="1"/>
      <c r="G315" s="7">
        <f>COUNTIF(SheetTable02[Focal Document
Element],A315)</f>
        <v>4</v>
      </c>
      <c r="H315" s="7" t="str">
        <f>IF(A315=A314,"",_xlfn.TEXTJOIN(", ", TRUE, C315:INDEX(C:C, ROW(C315)+SheetTable02[[#This Row],[Column1]]-1)))</f>
        <v/>
      </c>
    </row>
    <row r="316" spans="1:8" ht="28.8">
      <c r="A316" s="1" t="s">
        <v>174</v>
      </c>
      <c r="B316" s="1" t="s">
        <v>176</v>
      </c>
      <c r="C316" s="1" t="s">
        <v>636</v>
      </c>
      <c r="D316" s="1"/>
      <c r="E316" s="1"/>
      <c r="F316" s="1"/>
      <c r="G316" s="7">
        <f>COUNTIF(SheetTable02[Focal Document
Element],A316)</f>
        <v>4</v>
      </c>
      <c r="H316" s="7" t="str">
        <f>IF(A316=A315,"",_xlfn.TEXTJOIN(", ", TRUE, C316:INDEX(C:C, ROW(C316)+SheetTable02[[#This Row],[Column1]]-1)))</f>
        <v>PM-09
, PM-18, PM-30, RA-07</v>
      </c>
    </row>
    <row r="317" spans="1:8" ht="28.8">
      <c r="A317" s="1" t="s">
        <v>174</v>
      </c>
      <c r="B317" s="1" t="s">
        <v>176</v>
      </c>
      <c r="C317" s="1" t="s">
        <v>460</v>
      </c>
      <c r="D317" s="1"/>
      <c r="E317" s="1"/>
      <c r="F317" s="1"/>
      <c r="G317" s="7">
        <f>COUNTIF(SheetTable02[Focal Document
Element],A317)</f>
        <v>4</v>
      </c>
      <c r="H317" s="7" t="str">
        <f>IF(A317=A316,"",_xlfn.TEXTJOIN(", ", TRUE, C317:INDEX(C:C, ROW(C317)+SheetTable02[[#This Row],[Column1]]-1)))</f>
        <v/>
      </c>
    </row>
    <row r="318" spans="1:8" ht="28.8">
      <c r="A318" s="1" t="s">
        <v>174</v>
      </c>
      <c r="B318" s="1" t="s">
        <v>176</v>
      </c>
      <c r="C318" s="1" t="s">
        <v>458</v>
      </c>
      <c r="D318" s="1"/>
      <c r="E318" s="1"/>
      <c r="F318" s="1"/>
      <c r="G318" s="7">
        <f>COUNTIF(SheetTable02[Focal Document
Element],A318)</f>
        <v>4</v>
      </c>
      <c r="H318" s="7" t="str">
        <f>IF(A318=A317,"",_xlfn.TEXTJOIN(", ", TRUE, C318:INDEX(C:C, ROW(C318)+SheetTable02[[#This Row],[Column1]]-1)))</f>
        <v/>
      </c>
    </row>
    <row r="319" spans="1:8" ht="28.8">
      <c r="A319" s="1" t="s">
        <v>174</v>
      </c>
      <c r="B319" s="1" t="s">
        <v>176</v>
      </c>
      <c r="C319" s="1" t="s">
        <v>441</v>
      </c>
      <c r="D319" s="1"/>
      <c r="E319" s="1"/>
      <c r="F319" s="1"/>
      <c r="G319" s="7">
        <f>COUNTIF(SheetTable02[Focal Document
Element],A319)</f>
        <v>4</v>
      </c>
      <c r="H319" s="7" t="str">
        <f>IF(A319=A318,"",_xlfn.TEXTJOIN(", ", TRUE, C319:INDEX(C:C, ROW(C319)+SheetTable02[[#This Row],[Column1]]-1)))</f>
        <v/>
      </c>
    </row>
    <row r="320" spans="1:8" ht="43.2">
      <c r="A320" s="1" t="s">
        <v>178</v>
      </c>
      <c r="B320" s="1" t="s">
        <v>180</v>
      </c>
      <c r="C320" s="1" t="s">
        <v>635</v>
      </c>
      <c r="D320" s="1"/>
      <c r="E320" s="1"/>
      <c r="F320" s="1"/>
      <c r="G320" s="7">
        <f>COUNTIF(SheetTable02[Focal Document
Element],A320)</f>
        <v>3</v>
      </c>
      <c r="H320" s="7" t="str">
        <f>IF(A320=A319,"",_xlfn.TEXTJOIN(", ", TRUE, C320:INDEX(C:C, ROW(C320)+SheetTable02[[#This Row],[Column1]]-1)))</f>
        <v>CA-07
, CM-03, CM-04</v>
      </c>
    </row>
    <row r="321" spans="1:8" ht="43.2">
      <c r="A321" s="1" t="s">
        <v>178</v>
      </c>
      <c r="B321" s="1" t="s">
        <v>180</v>
      </c>
      <c r="C321" s="1" t="s">
        <v>472</v>
      </c>
      <c r="D321" s="1"/>
      <c r="E321" s="1"/>
      <c r="F321" s="1"/>
      <c r="G321" s="7">
        <f>COUNTIF(SheetTable02[Focal Document
Element],A321)</f>
        <v>3</v>
      </c>
      <c r="H321" s="7" t="str">
        <f>IF(A321=A320,"",_xlfn.TEXTJOIN(", ", TRUE, C321:INDEX(C:C, ROW(C321)+SheetTable02[[#This Row],[Column1]]-1)))</f>
        <v/>
      </c>
    </row>
    <row r="322" spans="1:8" ht="43.2">
      <c r="A322" s="1" t="s">
        <v>178</v>
      </c>
      <c r="B322" s="1" t="s">
        <v>180</v>
      </c>
      <c r="C322" s="1" t="s">
        <v>539</v>
      </c>
      <c r="D322" s="1"/>
      <c r="E322" s="1"/>
      <c r="F322" s="1"/>
      <c r="G322" s="7">
        <f>COUNTIF(SheetTable02[Focal Document
Element],A322)</f>
        <v>3</v>
      </c>
      <c r="H322" s="7" t="str">
        <f>IF(A322=A321,"",_xlfn.TEXTJOIN(", ", TRUE, C322:INDEX(C:C, ROW(C322)+SheetTable02[[#This Row],[Column1]]-1)))</f>
        <v/>
      </c>
    </row>
    <row r="323" spans="1:8" ht="43.2">
      <c r="A323" s="1" t="s">
        <v>182</v>
      </c>
      <c r="B323" s="1" t="s">
        <v>184</v>
      </c>
      <c r="C323" s="1" t="s">
        <v>605</v>
      </c>
      <c r="D323" s="1"/>
      <c r="E323" s="1"/>
      <c r="F323" s="1"/>
      <c r="G323" s="7">
        <f>COUNTIF(SheetTable02[Focal Document
Element],A323)</f>
        <v>1</v>
      </c>
      <c r="H323" s="7" t="str">
        <f>IF(A323=A322,"",_xlfn.TEXTJOIN(", ", TRUE, C323:INDEX(C:C, ROW(C323)+SheetTable02[[#This Row],[Column1]]-1)))</f>
        <v>RA-05</v>
      </c>
    </row>
    <row r="324" spans="1:8" ht="43.2">
      <c r="A324" s="1" t="s">
        <v>186</v>
      </c>
      <c r="B324" s="1" t="s">
        <v>188</v>
      </c>
      <c r="C324" s="1" t="s">
        <v>477</v>
      </c>
      <c r="D324" s="1"/>
      <c r="E324" s="1"/>
      <c r="F324" s="1"/>
      <c r="G324" s="7">
        <f>COUNTIF(SheetTable02[Focal Document
Element],A324)</f>
        <v>11</v>
      </c>
      <c r="H324" s="7" t="str">
        <f>IF(A324=A323,"",_xlfn.TEXTJOIN(", ", TRUE, C324:INDEX(C:C, ROW(C324)+SheetTable02[[#This Row],[Column1]]-1)))</f>
        <v>SA-04, SA-05, SA-10, SA-11, SA-15, SA-17, SI-07, SR-05, SR-06, SR-10, SR-11</v>
      </c>
    </row>
    <row r="325" spans="1:8" ht="43.2">
      <c r="A325" s="1" t="s">
        <v>186</v>
      </c>
      <c r="B325" s="1" t="s">
        <v>188</v>
      </c>
      <c r="C325" s="1" t="s">
        <v>634</v>
      </c>
      <c r="D325" s="1"/>
      <c r="E325" s="1"/>
      <c r="F325" s="1"/>
      <c r="G325" s="7">
        <f>COUNTIF(SheetTable02[Focal Document
Element],A325)</f>
        <v>11</v>
      </c>
      <c r="H325" s="7" t="str">
        <f>IF(A325=A324,"",_xlfn.TEXTJOIN(", ", TRUE, C325:INDEX(C:C, ROW(C325)+SheetTable02[[#This Row],[Column1]]-1)))</f>
        <v/>
      </c>
    </row>
    <row r="326" spans="1:8" ht="43.2">
      <c r="A326" s="1" t="s">
        <v>186</v>
      </c>
      <c r="B326" s="1" t="s">
        <v>188</v>
      </c>
      <c r="C326" s="1" t="s">
        <v>518</v>
      </c>
      <c r="D326" s="1"/>
      <c r="E326" s="1"/>
      <c r="F326" s="1"/>
      <c r="G326" s="7">
        <f>COUNTIF(SheetTable02[Focal Document
Element],A326)</f>
        <v>11</v>
      </c>
      <c r="H326" s="7" t="str">
        <f>IF(A326=A325,"",_xlfn.TEXTJOIN(", ", TRUE, C326:INDEX(C:C, ROW(C326)+SheetTable02[[#This Row],[Column1]]-1)))</f>
        <v/>
      </c>
    </row>
    <row r="327" spans="1:8" ht="43.2">
      <c r="A327" s="1" t="s">
        <v>186</v>
      </c>
      <c r="B327" s="1" t="s">
        <v>188</v>
      </c>
      <c r="C327" s="1" t="s">
        <v>517</v>
      </c>
      <c r="D327" s="1"/>
      <c r="E327" s="1"/>
      <c r="F327" s="1"/>
      <c r="G327" s="7">
        <f>COUNTIF(SheetTable02[Focal Document
Element],A327)</f>
        <v>11</v>
      </c>
      <c r="H327" s="7" t="str">
        <f>IF(A327=A326,"",_xlfn.TEXTJOIN(", ", TRUE, C327:INDEX(C:C, ROW(C327)+SheetTable02[[#This Row],[Column1]]-1)))</f>
        <v/>
      </c>
    </row>
    <row r="328" spans="1:8" ht="43.2">
      <c r="A328" s="1" t="s">
        <v>186</v>
      </c>
      <c r="B328" s="1" t="s">
        <v>188</v>
      </c>
      <c r="C328" s="1" t="s">
        <v>516</v>
      </c>
      <c r="D328" s="1"/>
      <c r="E328" s="1"/>
      <c r="F328" s="1"/>
      <c r="G328" s="7">
        <f>COUNTIF(SheetTable02[Focal Document
Element],A328)</f>
        <v>11</v>
      </c>
      <c r="H328" s="7" t="str">
        <f>IF(A328=A327,"",_xlfn.TEXTJOIN(", ", TRUE, C328:INDEX(C:C, ROW(C328)+SheetTable02[[#This Row],[Column1]]-1)))</f>
        <v/>
      </c>
    </row>
    <row r="329" spans="1:8" ht="43.2">
      <c r="A329" s="1" t="s">
        <v>186</v>
      </c>
      <c r="B329" s="1" t="s">
        <v>188</v>
      </c>
      <c r="C329" s="1" t="s">
        <v>515</v>
      </c>
      <c r="D329" s="1"/>
      <c r="E329" s="1"/>
      <c r="F329" s="1"/>
      <c r="G329" s="7">
        <f>COUNTIF(SheetTable02[Focal Document
Element],A329)</f>
        <v>11</v>
      </c>
      <c r="H329" s="7" t="str">
        <f>IF(A329=A328,"",_xlfn.TEXTJOIN(", ", TRUE, C329:INDEX(C:C, ROW(C329)+SheetTable02[[#This Row],[Column1]]-1)))</f>
        <v/>
      </c>
    </row>
    <row r="330" spans="1:8" ht="43.2">
      <c r="A330" s="1" t="s">
        <v>186</v>
      </c>
      <c r="B330" s="1" t="s">
        <v>188</v>
      </c>
      <c r="C330" s="1" t="s">
        <v>466</v>
      </c>
      <c r="D330" s="1"/>
      <c r="E330" s="1"/>
      <c r="F330" s="1"/>
      <c r="G330" s="7">
        <f>COUNTIF(SheetTable02[Focal Document
Element],A330)</f>
        <v>11</v>
      </c>
      <c r="H330" s="7" t="str">
        <f>IF(A330=A329,"",_xlfn.TEXTJOIN(", ", TRUE, C330:INDEX(C:C, ROW(C330)+SheetTable02[[#This Row],[Column1]]-1)))</f>
        <v/>
      </c>
    </row>
    <row r="331" spans="1:8" ht="43.2">
      <c r="A331" s="1" t="s">
        <v>186</v>
      </c>
      <c r="B331" s="1" t="s">
        <v>188</v>
      </c>
      <c r="C331" s="1" t="s">
        <v>604</v>
      </c>
      <c r="D331" s="1"/>
      <c r="E331" s="1"/>
      <c r="F331" s="1"/>
      <c r="G331" s="7">
        <f>COUNTIF(SheetTable02[Focal Document
Element],A331)</f>
        <v>11</v>
      </c>
      <c r="H331" s="7" t="str">
        <f>IF(A331=A330,"",_xlfn.TEXTJOIN(", ", TRUE, C331:INDEX(C:C, ROW(C331)+SheetTable02[[#This Row],[Column1]]-1)))</f>
        <v/>
      </c>
    </row>
    <row r="332" spans="1:8" ht="43.2">
      <c r="A332" s="1" t="s">
        <v>186</v>
      </c>
      <c r="B332" s="1" t="s">
        <v>188</v>
      </c>
      <c r="C332" s="1" t="s">
        <v>631</v>
      </c>
      <c r="D332" s="1"/>
      <c r="E332" s="1"/>
      <c r="F332" s="1"/>
      <c r="G332" s="7">
        <f>COUNTIF(SheetTable02[Focal Document
Element],A332)</f>
        <v>11</v>
      </c>
      <c r="H332" s="7" t="str">
        <f>IF(A332=A331,"",_xlfn.TEXTJOIN(", ", TRUE, C332:INDEX(C:C, ROW(C332)+SheetTable02[[#This Row],[Column1]]-1)))</f>
        <v/>
      </c>
    </row>
    <row r="333" spans="1:8" ht="43.2">
      <c r="A333" s="1" t="s">
        <v>186</v>
      </c>
      <c r="B333" s="1" t="s">
        <v>188</v>
      </c>
      <c r="C333" s="1" t="s">
        <v>633</v>
      </c>
      <c r="D333" s="1"/>
      <c r="E333" s="1"/>
      <c r="F333" s="1"/>
      <c r="G333" s="7">
        <f>COUNTIF(SheetTable02[Focal Document
Element],A333)</f>
        <v>11</v>
      </c>
      <c r="H333" s="7" t="str">
        <f>IF(A333=A332,"",_xlfn.TEXTJOIN(", ", TRUE, C333:INDEX(C:C, ROW(C333)+SheetTable02[[#This Row],[Column1]]-1)))</f>
        <v/>
      </c>
    </row>
    <row r="334" spans="1:8" ht="43.2">
      <c r="A334" s="1" t="s">
        <v>186</v>
      </c>
      <c r="B334" s="1" t="s">
        <v>188</v>
      </c>
      <c r="C334" s="1" t="s">
        <v>632</v>
      </c>
      <c r="D334" s="1"/>
      <c r="E334" s="1"/>
      <c r="F334" s="1"/>
      <c r="G334" s="7">
        <f>COUNTIF(SheetTable02[Focal Document
Element],A334)</f>
        <v>11</v>
      </c>
      <c r="H334" s="7" t="str">
        <f>IF(A334=A333,"",_xlfn.TEXTJOIN(", ", TRUE, C334:INDEX(C:C, ROW(C334)+SheetTable02[[#This Row],[Column1]]-1)))</f>
        <v/>
      </c>
    </row>
    <row r="335" spans="1:8" ht="28.8">
      <c r="A335" s="1" t="s">
        <v>190</v>
      </c>
      <c r="B335" s="1" t="s">
        <v>191</v>
      </c>
      <c r="C335" s="1" t="s">
        <v>631</v>
      </c>
      <c r="D335" s="1"/>
      <c r="E335" s="1"/>
      <c r="F335" s="1"/>
      <c r="G335" s="7">
        <f>COUNTIF(SheetTable02[Focal Document
Element],A335)</f>
        <v>1</v>
      </c>
      <c r="H335" s="7" t="str">
        <f>IF(A335=A334,"",_xlfn.TEXTJOIN(", ", TRUE, C335:INDEX(C:C, ROW(C335)+SheetTable02[[#This Row],[Column1]]-1)))</f>
        <v>SR-06</v>
      </c>
    </row>
    <row r="336" spans="1:8" ht="57.6">
      <c r="A336" s="1" t="s">
        <v>630</v>
      </c>
      <c r="B336" s="1" t="s">
        <v>629</v>
      </c>
      <c r="C336" s="1"/>
      <c r="D336" s="1"/>
      <c r="E336" s="1"/>
      <c r="F336" s="1"/>
      <c r="G336" s="7">
        <f>COUNTIF(SheetTable02[Focal Document
Element],A336)</f>
        <v>1</v>
      </c>
      <c r="H336" s="7" t="str">
        <f>IF(A336=A335,"",_xlfn.TEXTJOIN(", ", TRUE, C336:INDEX(C:C, ROW(C336)+SheetTable02[[#This Row],[Column1]]-1)))</f>
        <v/>
      </c>
    </row>
    <row r="337" spans="1:8" ht="28.8">
      <c r="A337" s="1" t="s">
        <v>193</v>
      </c>
      <c r="B337" s="1" t="s">
        <v>194</v>
      </c>
      <c r="C337" s="1" t="s">
        <v>596</v>
      </c>
      <c r="D337" s="1"/>
      <c r="E337" s="1"/>
      <c r="F337" s="1"/>
      <c r="G337" s="7">
        <f>COUNTIF(SheetTable02[Focal Document
Element],A337)</f>
        <v>37</v>
      </c>
      <c r="H337" s="7" t="str">
        <f>IF(A337=A336,"",_xlfn.TEXTJOIN(", ", TRUE, C337:INDEX(C:C, ROW(C337)+SheetTable02[[#This Row],[Column1]]-1)))</f>
        <v>AC-01
, AT-01, AU-01, CA-01, CM-01, CP-01, IA-01, IR-01, MA-01, MP-01, PE-01, PL-01, PM-01, PS-01, PT-01, RA-01, SA-01, SC-01, SI-01, SR-01, CA-02, CA-05, CA-07, CA-08, CP-02
, IR-04, IR-08, PL-02, RA-03, RA-05, RA-07, SA-08, SA-11, SA-17(06), SI-02, SI-04, SR-05</v>
      </c>
    </row>
    <row r="338" spans="1:8" ht="28.8">
      <c r="A338" s="1" t="s">
        <v>193</v>
      </c>
      <c r="B338" s="1" t="s">
        <v>194</v>
      </c>
      <c r="C338" s="1" t="s">
        <v>626</v>
      </c>
      <c r="D338" s="1"/>
      <c r="E338" s="1"/>
      <c r="F338" s="1"/>
      <c r="G338" s="7">
        <f>COUNTIF(SheetTable02[Focal Document
Element],A338)</f>
        <v>37</v>
      </c>
      <c r="H338" s="7" t="str">
        <f>IF(A338=A337,"",_xlfn.TEXTJOIN(", ", TRUE, C338:INDEX(C:C, ROW(C338)+SheetTable02[[#This Row],[Column1]]-1)))</f>
        <v/>
      </c>
    </row>
    <row r="339" spans="1:8" ht="28.8">
      <c r="A339" s="1" t="s">
        <v>193</v>
      </c>
      <c r="B339" s="1" t="s">
        <v>194</v>
      </c>
      <c r="C339" s="1" t="s">
        <v>625</v>
      </c>
      <c r="D339" s="1"/>
      <c r="E339" s="1"/>
      <c r="F339" s="1"/>
      <c r="G339" s="7">
        <f>COUNTIF(SheetTable02[Focal Document
Element],A339)</f>
        <v>37</v>
      </c>
      <c r="H339" s="7" t="str">
        <f>IF(A339=A338,"",_xlfn.TEXTJOIN(", ", TRUE, C339:INDEX(C:C, ROW(C339)+SheetTable02[[#This Row],[Column1]]-1)))</f>
        <v/>
      </c>
    </row>
    <row r="340" spans="1:8" ht="28.8">
      <c r="A340" s="1" t="s">
        <v>193</v>
      </c>
      <c r="B340" s="1" t="s">
        <v>194</v>
      </c>
      <c r="C340" s="1" t="s">
        <v>624</v>
      </c>
      <c r="D340" s="1"/>
      <c r="E340" s="1"/>
      <c r="F340" s="1"/>
      <c r="G340" s="7">
        <f>COUNTIF(SheetTable02[Focal Document
Element],A340)</f>
        <v>37</v>
      </c>
      <c r="H340" s="7" t="str">
        <f>IF(A340=A339,"",_xlfn.TEXTJOIN(", ", TRUE, C340:INDEX(C:C, ROW(C340)+SheetTable02[[#This Row],[Column1]]-1)))</f>
        <v/>
      </c>
    </row>
    <row r="341" spans="1:8" ht="28.8">
      <c r="A341" s="1" t="s">
        <v>193</v>
      </c>
      <c r="B341" s="1" t="s">
        <v>194</v>
      </c>
      <c r="C341" s="1" t="s">
        <v>541</v>
      </c>
      <c r="D341" s="1"/>
      <c r="E341" s="1"/>
      <c r="F341" s="1"/>
      <c r="G341" s="7">
        <f>COUNTIF(SheetTable02[Focal Document
Element],A341)</f>
        <v>37</v>
      </c>
      <c r="H341" s="7" t="str">
        <f>IF(A341=A340,"",_xlfn.TEXTJOIN(", ", TRUE, C341:INDEX(C:C, ROW(C341)+SheetTable02[[#This Row],[Column1]]-1)))</f>
        <v/>
      </c>
    </row>
    <row r="342" spans="1:8" ht="28.8">
      <c r="A342" s="1" t="s">
        <v>193</v>
      </c>
      <c r="B342" s="1" t="s">
        <v>194</v>
      </c>
      <c r="C342" s="1" t="s">
        <v>623</v>
      </c>
      <c r="D342" s="1"/>
      <c r="E342" s="1"/>
      <c r="F342" s="1"/>
      <c r="G342" s="7">
        <f>COUNTIF(SheetTable02[Focal Document
Element],A342)</f>
        <v>37</v>
      </c>
      <c r="H342" s="7" t="str">
        <f>IF(A342=A341,"",_xlfn.TEXTJOIN(", ", TRUE, C342:INDEX(C:C, ROW(C342)+SheetTable02[[#This Row],[Column1]]-1)))</f>
        <v/>
      </c>
    </row>
    <row r="343" spans="1:8" ht="28.8">
      <c r="A343" s="1" t="s">
        <v>193</v>
      </c>
      <c r="B343" s="1" t="s">
        <v>194</v>
      </c>
      <c r="C343" s="1" t="s">
        <v>594</v>
      </c>
      <c r="D343" s="1"/>
      <c r="E343" s="1"/>
      <c r="F343" s="1"/>
      <c r="G343" s="7">
        <f>COUNTIF(SheetTable02[Focal Document
Element],A343)</f>
        <v>37</v>
      </c>
      <c r="H343" s="7" t="str">
        <f>IF(A343=A342,"",_xlfn.TEXTJOIN(", ", TRUE, C343:INDEX(C:C, ROW(C343)+SheetTable02[[#This Row],[Column1]]-1)))</f>
        <v/>
      </c>
    </row>
    <row r="344" spans="1:8" ht="28.8">
      <c r="A344" s="1" t="s">
        <v>193</v>
      </c>
      <c r="B344" s="1" t="s">
        <v>194</v>
      </c>
      <c r="C344" s="1" t="s">
        <v>424</v>
      </c>
      <c r="D344" s="1"/>
      <c r="E344" s="1"/>
      <c r="F344" s="1"/>
      <c r="G344" s="7">
        <f>COUNTIF(SheetTable02[Focal Document
Element],A344)</f>
        <v>37</v>
      </c>
      <c r="H344" s="7" t="str">
        <f>IF(A344=A343,"",_xlfn.TEXTJOIN(", ", TRUE, C344:INDEX(C:C, ROW(C344)+SheetTable02[[#This Row],[Column1]]-1)))</f>
        <v/>
      </c>
    </row>
    <row r="345" spans="1:8" ht="28.8">
      <c r="A345" s="1" t="s">
        <v>193</v>
      </c>
      <c r="B345" s="1" t="s">
        <v>194</v>
      </c>
      <c r="C345" s="1" t="s">
        <v>622</v>
      </c>
      <c r="D345" s="1"/>
      <c r="E345" s="1"/>
      <c r="F345" s="1"/>
      <c r="G345" s="7">
        <f>COUNTIF(SheetTable02[Focal Document
Element],A345)</f>
        <v>37</v>
      </c>
      <c r="H345" s="7" t="str">
        <f>IF(A345=A344,"",_xlfn.TEXTJOIN(", ", TRUE, C345:INDEX(C:C, ROW(C345)+SheetTable02[[#This Row],[Column1]]-1)))</f>
        <v/>
      </c>
    </row>
    <row r="346" spans="1:8" ht="28.8">
      <c r="A346" s="1" t="s">
        <v>193</v>
      </c>
      <c r="B346" s="1" t="s">
        <v>194</v>
      </c>
      <c r="C346" s="1" t="s">
        <v>621</v>
      </c>
      <c r="D346" s="1"/>
      <c r="E346" s="1"/>
      <c r="F346" s="1"/>
      <c r="G346" s="7">
        <f>COUNTIF(SheetTable02[Focal Document
Element],A346)</f>
        <v>37</v>
      </c>
      <c r="H346" s="7" t="str">
        <f>IF(A346=A345,"",_xlfn.TEXTJOIN(", ", TRUE, C346:INDEX(C:C, ROW(C346)+SheetTable02[[#This Row],[Column1]]-1)))</f>
        <v/>
      </c>
    </row>
    <row r="347" spans="1:8" ht="28.8">
      <c r="A347" s="1" t="s">
        <v>193</v>
      </c>
      <c r="B347" s="1" t="s">
        <v>194</v>
      </c>
      <c r="C347" s="1" t="s">
        <v>620</v>
      </c>
      <c r="D347" s="1"/>
      <c r="E347" s="1"/>
      <c r="F347" s="1"/>
      <c r="G347" s="7">
        <f>COUNTIF(SheetTable02[Focal Document
Element],A347)</f>
        <v>37</v>
      </c>
      <c r="H347" s="7" t="str">
        <f>IF(A347=A346,"",_xlfn.TEXTJOIN(", ", TRUE, C347:INDEX(C:C, ROW(C347)+SheetTable02[[#This Row],[Column1]]-1)))</f>
        <v/>
      </c>
    </row>
    <row r="348" spans="1:8" ht="28.8">
      <c r="A348" s="1" t="s">
        <v>193</v>
      </c>
      <c r="B348" s="1" t="s">
        <v>194</v>
      </c>
      <c r="C348" s="1" t="s">
        <v>619</v>
      </c>
      <c r="G348" s="7">
        <f>COUNTIF(SheetTable02[Focal Document
Element],A348)</f>
        <v>37</v>
      </c>
      <c r="H348" s="7" t="str">
        <f>IF(A348=A347,"",_xlfn.TEXTJOIN(", ", TRUE, C348:INDEX(C:C, ROW(C348)+SheetTable02[[#This Row],[Column1]]-1)))</f>
        <v/>
      </c>
    </row>
    <row r="349" spans="1:8" ht="28.8">
      <c r="A349" s="1" t="s">
        <v>193</v>
      </c>
      <c r="B349" s="1" t="s">
        <v>194</v>
      </c>
      <c r="C349" s="1" t="s">
        <v>618</v>
      </c>
      <c r="D349" s="2"/>
      <c r="E349" s="2"/>
      <c r="F349" s="2"/>
      <c r="G349" s="7">
        <f>COUNTIF(SheetTable02[Focal Document
Element],A349)</f>
        <v>37</v>
      </c>
      <c r="H349" s="7" t="str">
        <f>IF(A349=A348,"",_xlfn.TEXTJOIN(", ", TRUE, C349:INDEX(C:C, ROW(C349)+SheetTable02[[#This Row],[Column1]]-1)))</f>
        <v/>
      </c>
    </row>
    <row r="350" spans="1:8" ht="28.8">
      <c r="A350" s="1" t="s">
        <v>193</v>
      </c>
      <c r="B350" s="1" t="s">
        <v>194</v>
      </c>
      <c r="C350" s="1" t="s">
        <v>617</v>
      </c>
      <c r="D350" s="2"/>
      <c r="E350" s="2"/>
      <c r="F350" s="2"/>
      <c r="G350" s="7">
        <f>COUNTIF(SheetTable02[Focal Document
Element],A350)</f>
        <v>37</v>
      </c>
      <c r="H350" s="7" t="str">
        <f>IF(A350=A349,"",_xlfn.TEXTJOIN(", ", TRUE, C350:INDEX(C:C, ROW(C350)+SheetTable02[[#This Row],[Column1]]-1)))</f>
        <v/>
      </c>
    </row>
    <row r="351" spans="1:8" ht="28.8">
      <c r="A351" s="1" t="s">
        <v>193</v>
      </c>
      <c r="B351" s="1" t="s">
        <v>194</v>
      </c>
      <c r="C351" s="1" t="s">
        <v>616</v>
      </c>
      <c r="D351" s="2"/>
      <c r="E351" s="2"/>
      <c r="F351" s="2"/>
      <c r="G351" s="7">
        <f>COUNTIF(SheetTable02[Focal Document
Element],A351)</f>
        <v>37</v>
      </c>
      <c r="H351" s="7" t="str">
        <f>IF(A351=A350,"",_xlfn.TEXTJOIN(", ", TRUE, C351:INDEX(C:C, ROW(C351)+SheetTable02[[#This Row],[Column1]]-1)))</f>
        <v/>
      </c>
    </row>
    <row r="352" spans="1:8" ht="28.8">
      <c r="A352" s="1" t="s">
        <v>193</v>
      </c>
      <c r="B352" s="1" t="s">
        <v>194</v>
      </c>
      <c r="C352" s="1" t="s">
        <v>615</v>
      </c>
      <c r="D352" s="2"/>
      <c r="E352" s="2"/>
      <c r="F352" s="2"/>
      <c r="G352" s="7">
        <f>COUNTIF(SheetTable02[Focal Document
Element],A352)</f>
        <v>37</v>
      </c>
      <c r="H352" s="7" t="str">
        <f>IF(A352=A351,"",_xlfn.TEXTJOIN(", ", TRUE, C352:INDEX(C:C, ROW(C352)+SheetTable02[[#This Row],[Column1]]-1)))</f>
        <v/>
      </c>
    </row>
    <row r="353" spans="1:8" ht="28.8">
      <c r="A353" s="1" t="s">
        <v>193</v>
      </c>
      <c r="B353" s="1" t="s">
        <v>194</v>
      </c>
      <c r="C353" s="1" t="s">
        <v>614</v>
      </c>
      <c r="D353" s="2"/>
      <c r="E353" s="2"/>
      <c r="F353" s="2"/>
      <c r="G353" s="7">
        <f>COUNTIF(SheetTable02[Focal Document
Element],A353)</f>
        <v>37</v>
      </c>
      <c r="H353" s="7" t="str">
        <f>IF(A353=A352,"",_xlfn.TEXTJOIN(", ", TRUE, C353:INDEX(C:C, ROW(C353)+SheetTable02[[#This Row],[Column1]]-1)))</f>
        <v/>
      </c>
    </row>
    <row r="354" spans="1:8" ht="28.8">
      <c r="A354" s="1" t="s">
        <v>193</v>
      </c>
      <c r="B354" s="1" t="s">
        <v>194</v>
      </c>
      <c r="C354" s="1" t="s">
        <v>613</v>
      </c>
      <c r="D354" s="2"/>
      <c r="E354" s="2"/>
      <c r="F354" s="2"/>
      <c r="G354" s="7">
        <f>COUNTIF(SheetTable02[Focal Document
Element],A354)</f>
        <v>37</v>
      </c>
      <c r="H354" s="7" t="str">
        <f>IF(A354=A353,"",_xlfn.TEXTJOIN(", ", TRUE, C354:INDEX(C:C, ROW(C354)+SheetTable02[[#This Row],[Column1]]-1)))</f>
        <v/>
      </c>
    </row>
    <row r="355" spans="1:8" ht="28.8">
      <c r="A355" s="1" t="s">
        <v>193</v>
      </c>
      <c r="B355" s="1" t="s">
        <v>194</v>
      </c>
      <c r="C355" s="1" t="s">
        <v>612</v>
      </c>
      <c r="D355" s="2"/>
      <c r="E355" s="2"/>
      <c r="F355" s="2"/>
      <c r="G355" s="7">
        <f>COUNTIF(SheetTable02[Focal Document
Element],A355)</f>
        <v>37</v>
      </c>
      <c r="H355" s="7" t="str">
        <f>IF(A355=A354,"",_xlfn.TEXTJOIN(", ", TRUE, C355:INDEX(C:C, ROW(C355)+SheetTable02[[#This Row],[Column1]]-1)))</f>
        <v/>
      </c>
    </row>
    <row r="356" spans="1:8" ht="28.8">
      <c r="A356" s="1" t="s">
        <v>193</v>
      </c>
      <c r="B356" s="1" t="s">
        <v>194</v>
      </c>
      <c r="C356" s="1" t="s">
        <v>611</v>
      </c>
      <c r="D356" s="2"/>
      <c r="E356" s="2"/>
      <c r="F356" s="2"/>
      <c r="G356" s="7">
        <f>COUNTIF(SheetTable02[Focal Document
Element],A356)</f>
        <v>37</v>
      </c>
      <c r="H356" s="7" t="str">
        <f>IF(A356=A355,"",_xlfn.TEXTJOIN(", ", TRUE, C356:INDEX(C:C, ROW(C356)+SheetTable02[[#This Row],[Column1]]-1)))</f>
        <v/>
      </c>
    </row>
    <row r="357" spans="1:8" ht="28.8">
      <c r="A357" s="1" t="s">
        <v>193</v>
      </c>
      <c r="B357" s="1" t="s">
        <v>194</v>
      </c>
      <c r="C357" s="3" t="s">
        <v>610</v>
      </c>
      <c r="D357" s="2"/>
      <c r="E357" s="2"/>
      <c r="F357" s="2"/>
      <c r="G357" s="7">
        <f>COUNTIF(SheetTable02[Focal Document
Element],A357)</f>
        <v>37</v>
      </c>
      <c r="H357" s="7" t="str">
        <f>IF(A357=A356,"",_xlfn.TEXTJOIN(", ", TRUE, C357:INDEX(C:C, ROW(C357)+SheetTable02[[#This Row],[Column1]]-1)))</f>
        <v/>
      </c>
    </row>
    <row r="358" spans="1:8" ht="28.8">
      <c r="A358" s="1" t="s">
        <v>193</v>
      </c>
      <c r="B358" s="1" t="s">
        <v>194</v>
      </c>
      <c r="C358" s="2" t="s">
        <v>609</v>
      </c>
      <c r="D358" s="2"/>
      <c r="E358" s="2"/>
      <c r="F358" s="2"/>
      <c r="G358" s="7">
        <f>COUNTIF(SheetTable02[Focal Document
Element],A358)</f>
        <v>37</v>
      </c>
      <c r="H358" s="7" t="str">
        <f>IF(A358=A357,"",_xlfn.TEXTJOIN(", ", TRUE, C358:INDEX(C:C, ROW(C358)+SheetTable02[[#This Row],[Column1]]-1)))</f>
        <v/>
      </c>
    </row>
    <row r="359" spans="1:8" ht="28.8">
      <c r="A359" s="1" t="s">
        <v>193</v>
      </c>
      <c r="B359" s="1" t="s">
        <v>194</v>
      </c>
      <c r="C359" s="2" t="s">
        <v>462</v>
      </c>
      <c r="D359" s="2"/>
      <c r="E359" s="2"/>
      <c r="F359" s="2"/>
      <c r="G359" s="7">
        <f>COUNTIF(SheetTable02[Focal Document
Element],A359)</f>
        <v>37</v>
      </c>
      <c r="H359" s="7" t="str">
        <f>IF(A359=A358,"",_xlfn.TEXTJOIN(", ", TRUE, C359:INDEX(C:C, ROW(C359)+SheetTable02[[#This Row],[Column1]]-1)))</f>
        <v/>
      </c>
    </row>
    <row r="360" spans="1:8" ht="28.8">
      <c r="A360" s="1" t="s">
        <v>193</v>
      </c>
      <c r="B360" s="1" t="s">
        <v>194</v>
      </c>
      <c r="C360" s="2" t="s">
        <v>608</v>
      </c>
      <c r="D360" s="2"/>
      <c r="E360" s="2"/>
      <c r="F360" s="2"/>
      <c r="G360" s="7">
        <f>COUNTIF(SheetTable02[Focal Document
Element],A360)</f>
        <v>37</v>
      </c>
      <c r="H360" s="7" t="str">
        <f>IF(A360=A359,"",_xlfn.TEXTJOIN(", ", TRUE, C360:INDEX(C:C, ROW(C360)+SheetTable02[[#This Row],[Column1]]-1)))</f>
        <v/>
      </c>
    </row>
    <row r="361" spans="1:8" ht="28.8">
      <c r="A361" s="1" t="s">
        <v>193</v>
      </c>
      <c r="B361" s="1" t="s">
        <v>194</v>
      </c>
      <c r="C361" s="3" t="s">
        <v>603</v>
      </c>
      <c r="D361" s="2"/>
      <c r="E361" s="2"/>
      <c r="F361" s="2"/>
      <c r="G361" s="7">
        <f>COUNTIF(SheetTable02[Focal Document
Element],A361)</f>
        <v>37</v>
      </c>
      <c r="H361" s="7" t="str">
        <f>IF(A361=A360,"",_xlfn.TEXTJOIN(", ", TRUE, C361:INDEX(C:C, ROW(C361)+SheetTable02[[#This Row],[Column1]]-1)))</f>
        <v/>
      </c>
    </row>
    <row r="362" spans="1:8" ht="28.8">
      <c r="A362" s="1" t="s">
        <v>193</v>
      </c>
      <c r="B362" s="1" t="s">
        <v>194</v>
      </c>
      <c r="C362" s="1" t="s">
        <v>416</v>
      </c>
      <c r="D362" s="1"/>
      <c r="E362" s="1"/>
      <c r="F362" s="1"/>
      <c r="G362" s="7">
        <f>COUNTIF(SheetTable02[Focal Document
Element],A362)</f>
        <v>37</v>
      </c>
      <c r="H362" s="7" t="str">
        <f>IF(A362=A361,"",_xlfn.TEXTJOIN(", ", TRUE, C362:INDEX(C:C, ROW(C362)+SheetTable02[[#This Row],[Column1]]-1)))</f>
        <v/>
      </c>
    </row>
    <row r="363" spans="1:8" ht="28.8">
      <c r="A363" s="1" t="s">
        <v>193</v>
      </c>
      <c r="B363" s="1" t="s">
        <v>194</v>
      </c>
      <c r="C363" s="1" t="s">
        <v>422</v>
      </c>
      <c r="D363" s="1"/>
      <c r="E363" s="1"/>
      <c r="F363" s="1"/>
      <c r="G363" s="7">
        <f>COUNTIF(SheetTable02[Focal Document
Element],A363)</f>
        <v>37</v>
      </c>
      <c r="H363" s="7" t="str">
        <f>IF(A363=A362,"",_xlfn.TEXTJOIN(", ", TRUE, C363:INDEX(C:C, ROW(C363)+SheetTable02[[#This Row],[Column1]]-1)))</f>
        <v/>
      </c>
    </row>
    <row r="364" spans="1:8" ht="28.8">
      <c r="A364" s="1" t="s">
        <v>193</v>
      </c>
      <c r="B364" s="1" t="s">
        <v>194</v>
      </c>
      <c r="C364" s="1" t="s">
        <v>602</v>
      </c>
      <c r="D364" s="1"/>
      <c r="E364" s="1"/>
      <c r="F364" s="1"/>
      <c r="G364" s="7">
        <f>COUNTIF(SheetTable02[Focal Document
Element],A364)</f>
        <v>37</v>
      </c>
      <c r="H364" s="7" t="str">
        <f>IF(A364=A363,"",_xlfn.TEXTJOIN(", ", TRUE, C364:INDEX(C:C, ROW(C364)+SheetTable02[[#This Row],[Column1]]-1)))</f>
        <v/>
      </c>
    </row>
    <row r="365" spans="1:8" ht="28.8">
      <c r="A365" s="1" t="s">
        <v>193</v>
      </c>
      <c r="B365" s="1" t="s">
        <v>194</v>
      </c>
      <c r="C365" s="1" t="s">
        <v>442</v>
      </c>
      <c r="D365" s="1"/>
      <c r="E365" s="1"/>
      <c r="F365" s="1"/>
      <c r="G365" s="7">
        <f>COUNTIF(SheetTable02[Focal Document
Element],A365)</f>
        <v>37</v>
      </c>
      <c r="H365" s="7" t="str">
        <f>IF(A365=A364,"",_xlfn.TEXTJOIN(", ", TRUE, C365:INDEX(C:C, ROW(C365)+SheetTable02[[#This Row],[Column1]]-1)))</f>
        <v/>
      </c>
    </row>
    <row r="366" spans="1:8" ht="28.8">
      <c r="A366" s="1" t="s">
        <v>193</v>
      </c>
      <c r="B366" s="1" t="s">
        <v>194</v>
      </c>
      <c r="C366" s="1" t="s">
        <v>605</v>
      </c>
      <c r="D366" s="1"/>
      <c r="E366" s="1"/>
      <c r="F366" s="1"/>
      <c r="G366" s="7">
        <f>COUNTIF(SheetTable02[Focal Document
Element],A366)</f>
        <v>37</v>
      </c>
      <c r="H366" s="7" t="str">
        <f>IF(A366=A365,"",_xlfn.TEXTJOIN(", ", TRUE, C366:INDEX(C:C, ROW(C366)+SheetTable02[[#This Row],[Column1]]-1)))</f>
        <v/>
      </c>
    </row>
    <row r="367" spans="1:8" ht="28.8">
      <c r="A367" s="1" t="s">
        <v>193</v>
      </c>
      <c r="B367" s="1" t="s">
        <v>194</v>
      </c>
      <c r="C367" s="1" t="s">
        <v>441</v>
      </c>
      <c r="D367" s="1"/>
      <c r="E367" s="1"/>
      <c r="F367" s="1"/>
      <c r="G367" s="7">
        <f>COUNTIF(SheetTable02[Focal Document
Element],A367)</f>
        <v>37</v>
      </c>
      <c r="H367" s="7" t="str">
        <f>IF(A367=A366,"",_xlfn.TEXTJOIN(", ", TRUE, C367:INDEX(C:C, ROW(C367)+SheetTable02[[#This Row],[Column1]]-1)))</f>
        <v/>
      </c>
    </row>
    <row r="368" spans="1:8" ht="28.8">
      <c r="A368" s="1" t="s">
        <v>193</v>
      </c>
      <c r="B368" s="1" t="s">
        <v>194</v>
      </c>
      <c r="C368" s="1" t="s">
        <v>499</v>
      </c>
      <c r="D368" s="1"/>
      <c r="E368" s="1"/>
      <c r="F368" s="1"/>
      <c r="G368" s="7">
        <f>COUNTIF(SheetTable02[Focal Document
Element],A368)</f>
        <v>37</v>
      </c>
      <c r="H368" s="7" t="str">
        <f>IF(A368=A367,"",_xlfn.TEXTJOIN(", ", TRUE, C368:INDEX(C:C, ROW(C368)+SheetTable02[[#This Row],[Column1]]-1)))</f>
        <v/>
      </c>
    </row>
    <row r="369" spans="1:8" ht="28.8">
      <c r="A369" s="1" t="s">
        <v>193</v>
      </c>
      <c r="B369" s="1" t="s">
        <v>194</v>
      </c>
      <c r="C369" s="1" t="s">
        <v>517</v>
      </c>
      <c r="D369" s="1"/>
      <c r="E369" s="1"/>
      <c r="F369" s="1"/>
      <c r="G369" s="7">
        <f>COUNTIF(SheetTable02[Focal Document
Element],A369)</f>
        <v>37</v>
      </c>
      <c r="H369" s="7" t="str">
        <f>IF(A369=A368,"",_xlfn.TEXTJOIN(", ", TRUE, C369:INDEX(C:C, ROW(C369)+SheetTable02[[#This Row],[Column1]]-1)))</f>
        <v/>
      </c>
    </row>
    <row r="370" spans="1:8" ht="28.8">
      <c r="A370" s="1" t="s">
        <v>193</v>
      </c>
      <c r="B370" s="1" t="s">
        <v>194</v>
      </c>
      <c r="C370" s="1" t="s">
        <v>628</v>
      </c>
      <c r="D370" s="1"/>
      <c r="E370" s="1"/>
      <c r="F370" s="1"/>
      <c r="G370" s="7">
        <f>COUNTIF(SheetTable02[Focal Document
Element],A370)</f>
        <v>37</v>
      </c>
      <c r="H370" s="7" t="str">
        <f>IF(A370=A369,"",_xlfn.TEXTJOIN(", ", TRUE, C370:INDEX(C:C, ROW(C370)+SheetTable02[[#This Row],[Column1]]-1)))</f>
        <v/>
      </c>
    </row>
    <row r="371" spans="1:8" ht="28.8">
      <c r="A371" s="1" t="s">
        <v>193</v>
      </c>
      <c r="B371" s="1" t="s">
        <v>194</v>
      </c>
      <c r="C371" s="1" t="s">
        <v>532</v>
      </c>
      <c r="D371" s="1"/>
      <c r="E371" s="1"/>
      <c r="F371" s="1"/>
      <c r="G371" s="7">
        <f>COUNTIF(SheetTable02[Focal Document
Element],A371)</f>
        <v>37</v>
      </c>
      <c r="H371" s="7" t="str">
        <f>IF(A371=A370,"",_xlfn.TEXTJOIN(", ", TRUE, C371:INDEX(C:C, ROW(C371)+SheetTable02[[#This Row],[Column1]]-1)))</f>
        <v/>
      </c>
    </row>
    <row r="372" spans="1:8" ht="28.8">
      <c r="A372" s="1" t="s">
        <v>193</v>
      </c>
      <c r="B372" s="1" t="s">
        <v>194</v>
      </c>
      <c r="C372" s="1" t="s">
        <v>461</v>
      </c>
      <c r="D372" s="1"/>
      <c r="E372" s="1"/>
      <c r="F372" s="1"/>
      <c r="G372" s="7">
        <f>COUNTIF(SheetTable02[Focal Document
Element],A372)</f>
        <v>37</v>
      </c>
      <c r="H372" s="7" t="str">
        <f>IF(A372=A371,"",_xlfn.TEXTJOIN(", ", TRUE, C372:INDEX(C:C, ROW(C372)+SheetTable02[[#This Row],[Column1]]-1)))</f>
        <v/>
      </c>
    </row>
    <row r="373" spans="1:8" ht="28.8">
      <c r="A373" s="1" t="s">
        <v>193</v>
      </c>
      <c r="B373" s="1" t="s">
        <v>194</v>
      </c>
      <c r="C373" s="1" t="s">
        <v>604</v>
      </c>
      <c r="D373" s="1"/>
      <c r="E373" s="1"/>
      <c r="F373" s="1"/>
      <c r="G373" s="7">
        <f>COUNTIF(SheetTable02[Focal Document
Element],A373)</f>
        <v>37</v>
      </c>
      <c r="H373" s="7" t="str">
        <f>IF(A373=A372,"",_xlfn.TEXTJOIN(", ", TRUE, C373:INDEX(C:C, ROW(C373)+SheetTable02[[#This Row],[Column1]]-1)))</f>
        <v/>
      </c>
    </row>
    <row r="374" spans="1:8" ht="57.6">
      <c r="A374" s="1" t="s">
        <v>196</v>
      </c>
      <c r="B374" s="1" t="s">
        <v>197</v>
      </c>
      <c r="C374" s="1" t="s">
        <v>596</v>
      </c>
      <c r="D374" s="1"/>
      <c r="E374" s="1"/>
      <c r="F374" s="1"/>
      <c r="G374" s="7">
        <f>COUNTIF(SheetTable02[Focal Document
Element],A374)</f>
        <v>40</v>
      </c>
      <c r="H374" s="7" t="str">
        <f>IF(A374=A373,"",_xlfn.TEXTJOIN(", ", TRUE, C374:INDEX(C:C, ROW(C374)+SheetTable02[[#This Row],[Column1]]-1)))</f>
        <v>AC-01
, AT-01, AU-01, CA-01, CM-01, CP-01, IA-01, IR-01, MA-01, MP-01, PE-01, PL-01, PM-01, PS-01, PT-01, RA-01, SA-01, SC-01, SI-01, SR-01, CA-02, CA-05, CA-07, CA-08, CP-02, CP-04, IR-03, IR-04, IR-08, PL-02, PM-04, PM-31, RA-03, RA-05, RA-07, SA-08, SA-11, SI-02, SI-04, SR-05</v>
      </c>
    </row>
    <row r="375" spans="1:8" ht="57.6">
      <c r="A375" s="1" t="s">
        <v>196</v>
      </c>
      <c r="B375" s="1" t="s">
        <v>197</v>
      </c>
      <c r="C375" s="1" t="s">
        <v>626</v>
      </c>
      <c r="D375" s="1"/>
      <c r="E375" s="1"/>
      <c r="F375" s="1"/>
      <c r="G375" s="7">
        <f>COUNTIF(SheetTable02[Focal Document
Element],A375)</f>
        <v>40</v>
      </c>
      <c r="H375" s="7" t="str">
        <f>IF(A375=A374,"",_xlfn.TEXTJOIN(", ", TRUE, C375:INDEX(C:C, ROW(C375)+SheetTable02[[#This Row],[Column1]]-1)))</f>
        <v/>
      </c>
    </row>
    <row r="376" spans="1:8" ht="57.6">
      <c r="A376" s="1" t="s">
        <v>196</v>
      </c>
      <c r="B376" s="1" t="s">
        <v>197</v>
      </c>
      <c r="C376" s="1" t="s">
        <v>625</v>
      </c>
      <c r="D376" s="1"/>
      <c r="E376" s="1"/>
      <c r="F376" s="1"/>
      <c r="G376" s="7">
        <f>COUNTIF(SheetTable02[Focal Document
Element],A376)</f>
        <v>40</v>
      </c>
      <c r="H376" s="7" t="str">
        <f>IF(A376=A375,"",_xlfn.TEXTJOIN(", ", TRUE, C376:INDEX(C:C, ROW(C376)+SheetTable02[[#This Row],[Column1]]-1)))</f>
        <v/>
      </c>
    </row>
    <row r="377" spans="1:8" ht="57.6">
      <c r="A377" s="1" t="s">
        <v>196</v>
      </c>
      <c r="B377" s="1" t="s">
        <v>197</v>
      </c>
      <c r="C377" s="1" t="s">
        <v>624</v>
      </c>
      <c r="D377" s="1"/>
      <c r="E377" s="1"/>
      <c r="F377" s="1"/>
      <c r="G377" s="7">
        <f>COUNTIF(SheetTable02[Focal Document
Element],A377)</f>
        <v>40</v>
      </c>
      <c r="H377" s="7" t="str">
        <f>IF(A377=A376,"",_xlfn.TEXTJOIN(", ", TRUE, C377:INDEX(C:C, ROW(C377)+SheetTable02[[#This Row],[Column1]]-1)))</f>
        <v/>
      </c>
    </row>
    <row r="378" spans="1:8" ht="57.6">
      <c r="A378" s="1" t="s">
        <v>196</v>
      </c>
      <c r="B378" s="1" t="s">
        <v>197</v>
      </c>
      <c r="C378" s="1" t="s">
        <v>541</v>
      </c>
      <c r="D378" s="1"/>
      <c r="E378" s="1"/>
      <c r="F378" s="1"/>
      <c r="G378" s="7">
        <f>COUNTIF(SheetTable02[Focal Document
Element],A378)</f>
        <v>40</v>
      </c>
      <c r="H378" s="7" t="str">
        <f>IF(A378=A377,"",_xlfn.TEXTJOIN(", ", TRUE, C378:INDEX(C:C, ROW(C378)+SheetTable02[[#This Row],[Column1]]-1)))</f>
        <v/>
      </c>
    </row>
    <row r="379" spans="1:8" ht="57.6">
      <c r="A379" s="1" t="s">
        <v>196</v>
      </c>
      <c r="B379" s="1" t="s">
        <v>197</v>
      </c>
      <c r="C379" s="1" t="s">
        <v>623</v>
      </c>
      <c r="D379" s="1"/>
      <c r="E379" s="1"/>
      <c r="F379" s="1"/>
      <c r="G379" s="7">
        <f>COUNTIF(SheetTable02[Focal Document
Element],A379)</f>
        <v>40</v>
      </c>
      <c r="H379" s="7" t="str">
        <f>IF(A379=A378,"",_xlfn.TEXTJOIN(", ", TRUE, C379:INDEX(C:C, ROW(C379)+SheetTable02[[#This Row],[Column1]]-1)))</f>
        <v/>
      </c>
    </row>
    <row r="380" spans="1:8" ht="57.6">
      <c r="A380" s="1" t="s">
        <v>196</v>
      </c>
      <c r="B380" s="1" t="s">
        <v>197</v>
      </c>
      <c r="C380" s="1" t="s">
        <v>594</v>
      </c>
      <c r="D380" s="1"/>
      <c r="E380" s="1"/>
      <c r="F380" s="1"/>
      <c r="G380" s="7">
        <f>COUNTIF(SheetTable02[Focal Document
Element],A380)</f>
        <v>40</v>
      </c>
      <c r="H380" s="7" t="str">
        <f>IF(A380=A379,"",_xlfn.TEXTJOIN(", ", TRUE, C380:INDEX(C:C, ROW(C380)+SheetTable02[[#This Row],[Column1]]-1)))</f>
        <v/>
      </c>
    </row>
    <row r="381" spans="1:8" ht="57.6">
      <c r="A381" s="1" t="s">
        <v>196</v>
      </c>
      <c r="B381" s="1" t="s">
        <v>197</v>
      </c>
      <c r="C381" s="1" t="s">
        <v>424</v>
      </c>
      <c r="D381" s="1"/>
      <c r="E381" s="1"/>
      <c r="F381" s="1"/>
      <c r="G381" s="7">
        <f>COUNTIF(SheetTable02[Focal Document
Element],A381)</f>
        <v>40</v>
      </c>
      <c r="H381" s="7" t="str">
        <f>IF(A381=A380,"",_xlfn.TEXTJOIN(", ", TRUE, C381:INDEX(C:C, ROW(C381)+SheetTable02[[#This Row],[Column1]]-1)))</f>
        <v/>
      </c>
    </row>
    <row r="382" spans="1:8" ht="57.6">
      <c r="A382" s="1" t="s">
        <v>196</v>
      </c>
      <c r="B382" s="1" t="s">
        <v>197</v>
      </c>
      <c r="C382" s="1" t="s">
        <v>622</v>
      </c>
      <c r="D382" s="1"/>
      <c r="E382" s="1"/>
      <c r="F382" s="1"/>
      <c r="G382" s="7">
        <f>COUNTIF(SheetTable02[Focal Document
Element],A382)</f>
        <v>40</v>
      </c>
      <c r="H382" s="7" t="str">
        <f>IF(A382=A381,"",_xlfn.TEXTJOIN(", ", TRUE, C382:INDEX(C:C, ROW(C382)+SheetTable02[[#This Row],[Column1]]-1)))</f>
        <v/>
      </c>
    </row>
    <row r="383" spans="1:8" ht="57.6">
      <c r="A383" s="1" t="s">
        <v>196</v>
      </c>
      <c r="B383" s="1" t="s">
        <v>197</v>
      </c>
      <c r="C383" s="1" t="s">
        <v>621</v>
      </c>
      <c r="D383" s="1"/>
      <c r="E383" s="1"/>
      <c r="F383" s="1"/>
      <c r="G383" s="7">
        <f>COUNTIF(SheetTable02[Focal Document
Element],A383)</f>
        <v>40</v>
      </c>
      <c r="H383" s="7" t="str">
        <f>IF(A383=A382,"",_xlfn.TEXTJOIN(", ", TRUE, C383:INDEX(C:C, ROW(C383)+SheetTable02[[#This Row],[Column1]]-1)))</f>
        <v/>
      </c>
    </row>
    <row r="384" spans="1:8" ht="57.6">
      <c r="A384" s="1" t="s">
        <v>196</v>
      </c>
      <c r="B384" s="1" t="s">
        <v>197</v>
      </c>
      <c r="C384" s="1" t="s">
        <v>620</v>
      </c>
      <c r="D384" s="1"/>
      <c r="E384" s="1"/>
      <c r="F384" s="1"/>
      <c r="G384" s="7">
        <f>COUNTIF(SheetTable02[Focal Document
Element],A384)</f>
        <v>40</v>
      </c>
      <c r="H384" s="7" t="str">
        <f>IF(A384=A383,"",_xlfn.TEXTJOIN(", ", TRUE, C384:INDEX(C:C, ROW(C384)+SheetTable02[[#This Row],[Column1]]-1)))</f>
        <v/>
      </c>
    </row>
    <row r="385" spans="1:8" ht="57.6">
      <c r="A385" s="1" t="s">
        <v>196</v>
      </c>
      <c r="B385" s="1" t="s">
        <v>197</v>
      </c>
      <c r="C385" s="1" t="s">
        <v>619</v>
      </c>
      <c r="D385" s="1"/>
      <c r="E385" s="1"/>
      <c r="F385" s="1"/>
      <c r="G385" s="7">
        <f>COUNTIF(SheetTable02[Focal Document
Element],A385)</f>
        <v>40</v>
      </c>
      <c r="H385" s="7" t="str">
        <f>IF(A385=A384,"",_xlfn.TEXTJOIN(", ", TRUE, C385:INDEX(C:C, ROW(C385)+SheetTable02[[#This Row],[Column1]]-1)))</f>
        <v/>
      </c>
    </row>
    <row r="386" spans="1:8" ht="57.6">
      <c r="A386" s="1" t="s">
        <v>196</v>
      </c>
      <c r="B386" s="1" t="s">
        <v>197</v>
      </c>
      <c r="C386" s="1" t="s">
        <v>618</v>
      </c>
      <c r="D386" s="1"/>
      <c r="E386" s="1"/>
      <c r="F386" s="1"/>
      <c r="G386" s="7">
        <f>COUNTIF(SheetTable02[Focal Document
Element],A386)</f>
        <v>40</v>
      </c>
      <c r="H386" s="7" t="str">
        <f>IF(A386=A385,"",_xlfn.TEXTJOIN(", ", TRUE, C386:INDEX(C:C, ROW(C386)+SheetTable02[[#This Row],[Column1]]-1)))</f>
        <v/>
      </c>
    </row>
    <row r="387" spans="1:8" ht="57.6">
      <c r="A387" s="1" t="s">
        <v>196</v>
      </c>
      <c r="B387" s="1" t="s">
        <v>197</v>
      </c>
      <c r="C387" s="1" t="s">
        <v>617</v>
      </c>
      <c r="D387" s="1"/>
      <c r="E387" s="1"/>
      <c r="F387" s="1"/>
      <c r="G387" s="7">
        <f>COUNTIF(SheetTable02[Focal Document
Element],A387)</f>
        <v>40</v>
      </c>
      <c r="H387" s="7" t="str">
        <f>IF(A387=A386,"",_xlfn.TEXTJOIN(", ", TRUE, C387:INDEX(C:C, ROW(C387)+SheetTable02[[#This Row],[Column1]]-1)))</f>
        <v/>
      </c>
    </row>
    <row r="388" spans="1:8" ht="57.6">
      <c r="A388" s="1" t="s">
        <v>196</v>
      </c>
      <c r="B388" s="1" t="s">
        <v>197</v>
      </c>
      <c r="C388" s="1" t="s">
        <v>616</v>
      </c>
      <c r="D388" s="1"/>
      <c r="E388" s="1"/>
      <c r="F388" s="1"/>
      <c r="G388" s="7">
        <f>COUNTIF(SheetTable02[Focal Document
Element],A388)</f>
        <v>40</v>
      </c>
      <c r="H388" s="7" t="str">
        <f>IF(A388=A387,"",_xlfn.TEXTJOIN(", ", TRUE, C388:INDEX(C:C, ROW(C388)+SheetTable02[[#This Row],[Column1]]-1)))</f>
        <v/>
      </c>
    </row>
    <row r="389" spans="1:8" ht="57.6">
      <c r="A389" s="1" t="s">
        <v>196</v>
      </c>
      <c r="B389" s="1" t="s">
        <v>197</v>
      </c>
      <c r="C389" s="1" t="s">
        <v>615</v>
      </c>
      <c r="D389" s="1"/>
      <c r="E389" s="1"/>
      <c r="F389" s="1"/>
      <c r="G389" s="7">
        <f>COUNTIF(SheetTable02[Focal Document
Element],A389)</f>
        <v>40</v>
      </c>
      <c r="H389" s="7" t="str">
        <f>IF(A389=A388,"",_xlfn.TEXTJOIN(", ", TRUE, C389:INDEX(C:C, ROW(C389)+SheetTable02[[#This Row],[Column1]]-1)))</f>
        <v/>
      </c>
    </row>
    <row r="390" spans="1:8" ht="57.6">
      <c r="A390" s="1" t="s">
        <v>196</v>
      </c>
      <c r="B390" s="1" t="s">
        <v>197</v>
      </c>
      <c r="C390" s="1" t="s">
        <v>614</v>
      </c>
      <c r="D390" s="1"/>
      <c r="E390" s="1"/>
      <c r="F390" s="1"/>
      <c r="G390" s="7">
        <f>COUNTIF(SheetTable02[Focal Document
Element],A390)</f>
        <v>40</v>
      </c>
      <c r="H390" s="7" t="str">
        <f>IF(A390=A389,"",_xlfn.TEXTJOIN(", ", TRUE, C390:INDEX(C:C, ROW(C390)+SheetTable02[[#This Row],[Column1]]-1)))</f>
        <v/>
      </c>
    </row>
    <row r="391" spans="1:8" ht="57.6">
      <c r="A391" s="1" t="s">
        <v>196</v>
      </c>
      <c r="B391" s="1" t="s">
        <v>197</v>
      </c>
      <c r="C391" s="1" t="s">
        <v>613</v>
      </c>
      <c r="D391" s="1"/>
      <c r="E391" s="1"/>
      <c r="F391" s="1"/>
      <c r="G391" s="7">
        <f>COUNTIF(SheetTable02[Focal Document
Element],A391)</f>
        <v>40</v>
      </c>
      <c r="H391" s="7" t="str">
        <f>IF(A391=A390,"",_xlfn.TEXTJOIN(", ", TRUE, C391:INDEX(C:C, ROW(C391)+SheetTable02[[#This Row],[Column1]]-1)))</f>
        <v/>
      </c>
    </row>
    <row r="392" spans="1:8" ht="57.6">
      <c r="A392" s="1" t="s">
        <v>196</v>
      </c>
      <c r="B392" s="1" t="s">
        <v>197</v>
      </c>
      <c r="C392" s="1" t="s">
        <v>612</v>
      </c>
      <c r="D392" s="1"/>
      <c r="E392" s="1"/>
      <c r="F392" s="1"/>
      <c r="G392" s="7">
        <f>COUNTIF(SheetTable02[Focal Document
Element],A392)</f>
        <v>40</v>
      </c>
      <c r="H392" s="7" t="str">
        <f>IF(A392=A391,"",_xlfn.TEXTJOIN(", ", TRUE, C392:INDEX(C:C, ROW(C392)+SheetTable02[[#This Row],[Column1]]-1)))</f>
        <v/>
      </c>
    </row>
    <row r="393" spans="1:8" ht="57.6">
      <c r="A393" s="1" t="s">
        <v>196</v>
      </c>
      <c r="B393" s="1" t="s">
        <v>197</v>
      </c>
      <c r="C393" s="1" t="s">
        <v>611</v>
      </c>
      <c r="D393" s="1"/>
      <c r="E393" s="1"/>
      <c r="F393" s="1"/>
      <c r="G393" s="7">
        <f>COUNTIF(SheetTable02[Focal Document
Element],A393)</f>
        <v>40</v>
      </c>
      <c r="H393" s="7" t="str">
        <f>IF(A393=A392,"",_xlfn.TEXTJOIN(", ", TRUE, C393:INDEX(C:C, ROW(C393)+SheetTable02[[#This Row],[Column1]]-1)))</f>
        <v/>
      </c>
    </row>
    <row r="394" spans="1:8" ht="57.6">
      <c r="A394" s="1" t="s">
        <v>196</v>
      </c>
      <c r="B394" s="1" t="s">
        <v>197</v>
      </c>
      <c r="C394" s="1" t="s">
        <v>610</v>
      </c>
      <c r="D394" s="1"/>
      <c r="E394" s="1"/>
      <c r="F394" s="1"/>
      <c r="G394" s="7">
        <f>COUNTIF(SheetTable02[Focal Document
Element],A394)</f>
        <v>40</v>
      </c>
      <c r="H394" s="7" t="str">
        <f>IF(A394=A393,"",_xlfn.TEXTJOIN(", ", TRUE, C394:INDEX(C:C, ROW(C394)+SheetTable02[[#This Row],[Column1]]-1)))</f>
        <v/>
      </c>
    </row>
    <row r="395" spans="1:8" ht="57.6">
      <c r="A395" s="1" t="s">
        <v>196</v>
      </c>
      <c r="B395" s="1" t="s">
        <v>197</v>
      </c>
      <c r="C395" s="1" t="s">
        <v>609</v>
      </c>
      <c r="D395" s="1"/>
      <c r="E395" s="1"/>
      <c r="F395" s="1"/>
      <c r="G395" s="7">
        <f>COUNTIF(SheetTable02[Focal Document
Element],A395)</f>
        <v>40</v>
      </c>
      <c r="H395" s="7" t="str">
        <f>IF(A395=A394,"",_xlfn.TEXTJOIN(", ", TRUE, C395:INDEX(C:C, ROW(C395)+SheetTable02[[#This Row],[Column1]]-1)))</f>
        <v/>
      </c>
    </row>
    <row r="396" spans="1:8" ht="57.6">
      <c r="A396" s="1" t="s">
        <v>196</v>
      </c>
      <c r="B396" s="1" t="s">
        <v>197</v>
      </c>
      <c r="C396" s="1" t="s">
        <v>462</v>
      </c>
      <c r="D396" s="1"/>
      <c r="E396" s="1"/>
      <c r="F396" s="1"/>
      <c r="G396" s="7">
        <f>COUNTIF(SheetTable02[Focal Document
Element],A396)</f>
        <v>40</v>
      </c>
      <c r="H396" s="7" t="str">
        <f>IF(A396=A395,"",_xlfn.TEXTJOIN(", ", TRUE, C396:INDEX(C:C, ROW(C396)+SheetTable02[[#This Row],[Column1]]-1)))</f>
        <v/>
      </c>
    </row>
    <row r="397" spans="1:8" ht="57.6">
      <c r="A397" s="1" t="s">
        <v>196</v>
      </c>
      <c r="B397" s="1" t="s">
        <v>197</v>
      </c>
      <c r="C397" s="1" t="s">
        <v>608</v>
      </c>
      <c r="D397" s="1"/>
      <c r="E397" s="1"/>
      <c r="F397" s="1"/>
      <c r="G397" s="7">
        <f>COUNTIF(SheetTable02[Focal Document
Element],A397)</f>
        <v>40</v>
      </c>
      <c r="H397" s="7" t="str">
        <f>IF(A397=A396,"",_xlfn.TEXTJOIN(", ", TRUE, C397:INDEX(C:C, ROW(C397)+SheetTable02[[#This Row],[Column1]]-1)))</f>
        <v/>
      </c>
    </row>
    <row r="398" spans="1:8" ht="57.6">
      <c r="A398" s="1" t="s">
        <v>196</v>
      </c>
      <c r="B398" s="1" t="s">
        <v>197</v>
      </c>
      <c r="C398" s="1" t="s">
        <v>417</v>
      </c>
      <c r="D398" s="1"/>
      <c r="E398" s="1"/>
      <c r="F398" s="1"/>
      <c r="G398" s="7">
        <f>COUNTIF(SheetTable02[Focal Document
Element],A398)</f>
        <v>40</v>
      </c>
      <c r="H398" s="7" t="str">
        <f>IF(A398=A397,"",_xlfn.TEXTJOIN(", ", TRUE, C398:INDEX(C:C, ROW(C398)+SheetTable02[[#This Row],[Column1]]-1)))</f>
        <v/>
      </c>
    </row>
    <row r="399" spans="1:8" ht="57.6">
      <c r="A399" s="1" t="s">
        <v>196</v>
      </c>
      <c r="B399" s="1" t="s">
        <v>197</v>
      </c>
      <c r="C399" s="1" t="s">
        <v>429</v>
      </c>
      <c r="D399" s="1"/>
      <c r="E399" s="1"/>
      <c r="F399" s="1"/>
      <c r="G399" s="7">
        <f>COUNTIF(SheetTable02[Focal Document
Element],A399)</f>
        <v>40</v>
      </c>
      <c r="H399" s="7" t="str">
        <f>IF(A399=A398,"",_xlfn.TEXTJOIN(", ", TRUE, C399:INDEX(C:C, ROW(C399)+SheetTable02[[#This Row],[Column1]]-1)))</f>
        <v/>
      </c>
    </row>
    <row r="400" spans="1:8" ht="57.6">
      <c r="A400" s="1" t="s">
        <v>196</v>
      </c>
      <c r="B400" s="1" t="s">
        <v>197</v>
      </c>
      <c r="C400" s="1" t="s">
        <v>627</v>
      </c>
      <c r="D400" s="1"/>
      <c r="E400" s="1"/>
      <c r="F400" s="1"/>
      <c r="G400" s="7">
        <f>COUNTIF(SheetTable02[Focal Document
Element],A400)</f>
        <v>40</v>
      </c>
      <c r="H400" s="7" t="str">
        <f>IF(A400=A399,"",_xlfn.TEXTJOIN(", ", TRUE, C400:INDEX(C:C, ROW(C400)+SheetTable02[[#This Row],[Column1]]-1)))</f>
        <v/>
      </c>
    </row>
    <row r="401" spans="1:8" ht="57.6">
      <c r="A401" s="1" t="s">
        <v>196</v>
      </c>
      <c r="B401" s="1" t="s">
        <v>197</v>
      </c>
      <c r="C401" s="1" t="s">
        <v>416</v>
      </c>
      <c r="D401" s="1"/>
      <c r="E401" s="1"/>
      <c r="F401" s="1"/>
      <c r="G401" s="7">
        <f>COUNTIF(SheetTable02[Focal Document
Element],A401)</f>
        <v>40</v>
      </c>
      <c r="H401" s="7" t="str">
        <f>IF(A401=A400,"",_xlfn.TEXTJOIN(", ", TRUE, C401:INDEX(C:C, ROW(C401)+SheetTable02[[#This Row],[Column1]]-1)))</f>
        <v/>
      </c>
    </row>
    <row r="402" spans="1:8" ht="57.6">
      <c r="A402" s="1" t="s">
        <v>196</v>
      </c>
      <c r="B402" s="1" t="s">
        <v>197</v>
      </c>
      <c r="C402" s="1" t="s">
        <v>422</v>
      </c>
      <c r="D402" s="1"/>
      <c r="E402" s="1"/>
      <c r="F402" s="1"/>
      <c r="G402" s="7">
        <f>COUNTIF(SheetTable02[Focal Document
Element],A402)</f>
        <v>40</v>
      </c>
      <c r="H402" s="7" t="str">
        <f>IF(A402=A401,"",_xlfn.TEXTJOIN(", ", TRUE, C402:INDEX(C:C, ROW(C402)+SheetTable02[[#This Row],[Column1]]-1)))</f>
        <v/>
      </c>
    </row>
    <row r="403" spans="1:8" ht="57.6">
      <c r="A403" s="1" t="s">
        <v>196</v>
      </c>
      <c r="B403" s="1" t="s">
        <v>197</v>
      </c>
      <c r="C403" s="1" t="s">
        <v>602</v>
      </c>
      <c r="D403" s="1"/>
      <c r="E403" s="1"/>
      <c r="F403" s="1"/>
      <c r="G403" s="7">
        <f>COUNTIF(SheetTable02[Focal Document
Element],A403)</f>
        <v>40</v>
      </c>
      <c r="H403" s="7" t="str">
        <f>IF(A403=A402,"",_xlfn.TEXTJOIN(", ", TRUE, C403:INDEX(C:C, ROW(C403)+SheetTable02[[#This Row],[Column1]]-1)))</f>
        <v/>
      </c>
    </row>
    <row r="404" spans="1:8" ht="57.6">
      <c r="A404" s="1" t="s">
        <v>196</v>
      </c>
      <c r="B404" s="1" t="s">
        <v>197</v>
      </c>
      <c r="C404" s="1" t="s">
        <v>607</v>
      </c>
      <c r="D404" s="1"/>
      <c r="E404" s="1"/>
      <c r="F404" s="1"/>
      <c r="G404" s="7">
        <f>COUNTIF(SheetTable02[Focal Document
Element],A404)</f>
        <v>40</v>
      </c>
      <c r="H404" s="7" t="str">
        <f>IF(A404=A403,"",_xlfn.TEXTJOIN(", ", TRUE, C404:INDEX(C:C, ROW(C404)+SheetTable02[[#This Row],[Column1]]-1)))</f>
        <v/>
      </c>
    </row>
    <row r="405" spans="1:8" ht="57.6">
      <c r="A405" s="1" t="s">
        <v>196</v>
      </c>
      <c r="B405" s="1" t="s">
        <v>197</v>
      </c>
      <c r="C405" s="1" t="s">
        <v>606</v>
      </c>
      <c r="D405" s="1"/>
      <c r="E405" s="1"/>
      <c r="F405" s="1"/>
      <c r="G405" s="7">
        <f>COUNTIF(SheetTable02[Focal Document
Element],A405)</f>
        <v>40</v>
      </c>
      <c r="H405" s="7" t="str">
        <f>IF(A405=A404,"",_xlfn.TEXTJOIN(", ", TRUE, C405:INDEX(C:C, ROW(C405)+SheetTable02[[#This Row],[Column1]]-1)))</f>
        <v/>
      </c>
    </row>
    <row r="406" spans="1:8" ht="57.6">
      <c r="A406" s="1" t="s">
        <v>196</v>
      </c>
      <c r="B406" s="1" t="s">
        <v>197</v>
      </c>
      <c r="C406" s="1" t="s">
        <v>442</v>
      </c>
      <c r="D406" s="1"/>
      <c r="E406" s="1"/>
      <c r="F406" s="1"/>
      <c r="G406" s="7">
        <f>COUNTIF(SheetTable02[Focal Document
Element],A406)</f>
        <v>40</v>
      </c>
      <c r="H406" s="7" t="str">
        <f>IF(A406=A405,"",_xlfn.TEXTJOIN(", ", TRUE, C406:INDEX(C:C, ROW(C406)+SheetTable02[[#This Row],[Column1]]-1)))</f>
        <v/>
      </c>
    </row>
    <row r="407" spans="1:8" ht="57.6">
      <c r="A407" s="1" t="s">
        <v>196</v>
      </c>
      <c r="B407" s="1" t="s">
        <v>197</v>
      </c>
      <c r="C407" s="1" t="s">
        <v>605</v>
      </c>
      <c r="D407" s="1"/>
      <c r="E407" s="1"/>
      <c r="F407" s="1"/>
      <c r="G407" s="7">
        <f>COUNTIF(SheetTable02[Focal Document
Element],A407)</f>
        <v>40</v>
      </c>
      <c r="H407" s="7" t="str">
        <f>IF(A407=A406,"",_xlfn.TEXTJOIN(", ", TRUE, C407:INDEX(C:C, ROW(C407)+SheetTable02[[#This Row],[Column1]]-1)))</f>
        <v/>
      </c>
    </row>
    <row r="408" spans="1:8" ht="57.6">
      <c r="A408" s="1" t="s">
        <v>196</v>
      </c>
      <c r="B408" s="1" t="s">
        <v>197</v>
      </c>
      <c r="C408" s="1" t="s">
        <v>441</v>
      </c>
      <c r="D408" s="1"/>
      <c r="E408" s="1"/>
      <c r="F408" s="1"/>
      <c r="G408" s="7">
        <f>COUNTIF(SheetTable02[Focal Document
Element],A408)</f>
        <v>40</v>
      </c>
      <c r="H408" s="7" t="str">
        <f>IF(A408=A407,"",_xlfn.TEXTJOIN(", ", TRUE, C408:INDEX(C:C, ROW(C408)+SheetTable02[[#This Row],[Column1]]-1)))</f>
        <v/>
      </c>
    </row>
    <row r="409" spans="1:8" ht="57.6">
      <c r="A409" s="1" t="s">
        <v>196</v>
      </c>
      <c r="B409" s="1" t="s">
        <v>197</v>
      </c>
      <c r="C409" s="1" t="s">
        <v>499</v>
      </c>
      <c r="D409" s="1"/>
      <c r="E409" s="1"/>
      <c r="F409" s="1"/>
      <c r="G409" s="7">
        <f>COUNTIF(SheetTable02[Focal Document
Element],A409)</f>
        <v>40</v>
      </c>
      <c r="H409" s="7" t="str">
        <f>IF(A409=A408,"",_xlfn.TEXTJOIN(", ", TRUE, C409:INDEX(C:C, ROW(C409)+SheetTable02[[#This Row],[Column1]]-1)))</f>
        <v/>
      </c>
    </row>
    <row r="410" spans="1:8" ht="57.6">
      <c r="A410" s="1" t="s">
        <v>196</v>
      </c>
      <c r="B410" s="1" t="s">
        <v>197</v>
      </c>
      <c r="C410" s="1" t="s">
        <v>517</v>
      </c>
      <c r="D410" s="1"/>
      <c r="E410" s="1"/>
      <c r="F410" s="1"/>
      <c r="G410" s="7">
        <f>COUNTIF(SheetTable02[Focal Document
Element],A410)</f>
        <v>40</v>
      </c>
      <c r="H410" s="7" t="str">
        <f>IF(A410=A409,"",_xlfn.TEXTJOIN(", ", TRUE, C410:INDEX(C:C, ROW(C410)+SheetTable02[[#This Row],[Column1]]-1)))</f>
        <v/>
      </c>
    </row>
    <row r="411" spans="1:8" ht="57.6">
      <c r="A411" s="1" t="s">
        <v>196</v>
      </c>
      <c r="B411" s="1" t="s">
        <v>197</v>
      </c>
      <c r="C411" s="1" t="s">
        <v>532</v>
      </c>
      <c r="D411" s="1"/>
      <c r="E411" s="1"/>
      <c r="F411" s="1"/>
      <c r="G411" s="7">
        <f>COUNTIF(SheetTable02[Focal Document
Element],A411)</f>
        <v>40</v>
      </c>
      <c r="H411" s="7" t="str">
        <f>IF(A411=A410,"",_xlfn.TEXTJOIN(", ", TRUE, C411:INDEX(C:C, ROW(C411)+SheetTable02[[#This Row],[Column1]]-1)))</f>
        <v/>
      </c>
    </row>
    <row r="412" spans="1:8" ht="57.6">
      <c r="A412" s="1" t="s">
        <v>196</v>
      </c>
      <c r="B412" s="1" t="s">
        <v>197</v>
      </c>
      <c r="C412" s="1" t="s">
        <v>461</v>
      </c>
      <c r="D412" s="1"/>
      <c r="E412" s="1"/>
      <c r="F412" s="1"/>
      <c r="G412" s="7">
        <f>COUNTIF(SheetTable02[Focal Document
Element],A412)</f>
        <v>40</v>
      </c>
      <c r="H412" s="7" t="str">
        <f>IF(A412=A411,"",_xlfn.TEXTJOIN(", ", TRUE, C412:INDEX(C:C, ROW(C412)+SheetTable02[[#This Row],[Column1]]-1)))</f>
        <v/>
      </c>
    </row>
    <row r="413" spans="1:8" ht="57.6">
      <c r="A413" s="1" t="s">
        <v>196</v>
      </c>
      <c r="B413" s="1" t="s">
        <v>197</v>
      </c>
      <c r="C413" s="1" t="s">
        <v>604</v>
      </c>
      <c r="D413" s="1"/>
      <c r="E413" s="1"/>
      <c r="F413" s="1"/>
      <c r="G413" s="7">
        <f>COUNTIF(SheetTable02[Focal Document
Element],A413)</f>
        <v>40</v>
      </c>
      <c r="H413" s="7" t="str">
        <f>IF(A413=A412,"",_xlfn.TEXTJOIN(", ", TRUE, C413:INDEX(C:C, ROW(C413)+SheetTable02[[#This Row],[Column1]]-1)))</f>
        <v/>
      </c>
    </row>
    <row r="414" spans="1:8" ht="43.2">
      <c r="A414" s="1" t="s">
        <v>199</v>
      </c>
      <c r="B414" s="1" t="s">
        <v>201</v>
      </c>
      <c r="C414" s="1" t="s">
        <v>596</v>
      </c>
      <c r="D414" s="1"/>
      <c r="E414" s="1"/>
      <c r="F414" s="1"/>
      <c r="G414" s="7">
        <f>COUNTIF(SheetTable02[Focal Document
Element],A414)</f>
        <v>39</v>
      </c>
      <c r="H414" s="7" t="str">
        <f>IF(A414=A413,"",_xlfn.TEXTJOIN(", ", TRUE, C414:INDEX(C:C, ROW(C414)+SheetTable02[[#This Row],[Column1]]-1)))</f>
        <v>AC-01
, AT-01, AU-01, CA-01, CM-01, CP-01, IA-01, IR-01, MA-01, MP-01, PE-01, PL-01, PM-01, PS-01, PT-01, RA-01, SA-01, SC-01, SI-01, SR-01, CA-02, CA-05, CA-07, CA-08, CP-02, IR-04, IR-08, PL-02, PM-04, PM-31, RA-03, RA-05, RA-07, SA-04, SA-08, SA-11, SI-02, SI-04, SR-05</v>
      </c>
    </row>
    <row r="415" spans="1:8" ht="43.2">
      <c r="A415" s="1" t="s">
        <v>199</v>
      </c>
      <c r="B415" s="1" t="s">
        <v>201</v>
      </c>
      <c r="C415" s="1" t="s">
        <v>626</v>
      </c>
      <c r="D415" s="1"/>
      <c r="E415" s="1"/>
      <c r="F415" s="1"/>
      <c r="G415" s="7">
        <f>COUNTIF(SheetTable02[Focal Document
Element],A415)</f>
        <v>39</v>
      </c>
      <c r="H415" s="7" t="str">
        <f>IF(A415=A414,"",_xlfn.TEXTJOIN(", ", TRUE, C415:INDEX(C:C, ROW(C415)+SheetTable02[[#This Row],[Column1]]-1)))</f>
        <v/>
      </c>
    </row>
    <row r="416" spans="1:8" ht="43.2">
      <c r="A416" s="1" t="s">
        <v>199</v>
      </c>
      <c r="B416" s="1" t="s">
        <v>201</v>
      </c>
      <c r="C416" s="1" t="s">
        <v>625</v>
      </c>
      <c r="D416" s="1"/>
      <c r="E416" s="1"/>
      <c r="F416" s="1"/>
      <c r="G416" s="7">
        <f>COUNTIF(SheetTable02[Focal Document
Element],A416)</f>
        <v>39</v>
      </c>
      <c r="H416" s="7" t="str">
        <f>IF(A416=A415,"",_xlfn.TEXTJOIN(", ", TRUE, C416:INDEX(C:C, ROW(C416)+SheetTable02[[#This Row],[Column1]]-1)))</f>
        <v/>
      </c>
    </row>
    <row r="417" spans="1:8" ht="43.2">
      <c r="A417" s="1" t="s">
        <v>199</v>
      </c>
      <c r="B417" s="1" t="s">
        <v>201</v>
      </c>
      <c r="C417" s="1" t="s">
        <v>624</v>
      </c>
      <c r="D417" s="1"/>
      <c r="E417" s="1"/>
      <c r="F417" s="1"/>
      <c r="G417" s="7">
        <f>COUNTIF(SheetTable02[Focal Document
Element],A417)</f>
        <v>39</v>
      </c>
      <c r="H417" s="7" t="str">
        <f>IF(A417=A416,"",_xlfn.TEXTJOIN(", ", TRUE, C417:INDEX(C:C, ROW(C417)+SheetTable02[[#This Row],[Column1]]-1)))</f>
        <v/>
      </c>
    </row>
    <row r="418" spans="1:8" ht="43.2">
      <c r="A418" s="1" t="s">
        <v>199</v>
      </c>
      <c r="B418" s="1" t="s">
        <v>201</v>
      </c>
      <c r="C418" s="1" t="s">
        <v>541</v>
      </c>
      <c r="D418" s="1"/>
      <c r="E418" s="1"/>
      <c r="F418" s="1"/>
      <c r="G418" s="7">
        <f>COUNTIF(SheetTable02[Focal Document
Element],A418)</f>
        <v>39</v>
      </c>
      <c r="H418" s="7" t="str">
        <f>IF(A418=A417,"",_xlfn.TEXTJOIN(", ", TRUE, C418:INDEX(C:C, ROW(C418)+SheetTable02[[#This Row],[Column1]]-1)))</f>
        <v/>
      </c>
    </row>
    <row r="419" spans="1:8" ht="43.2">
      <c r="A419" s="1" t="s">
        <v>199</v>
      </c>
      <c r="B419" s="1" t="s">
        <v>201</v>
      </c>
      <c r="C419" s="1" t="s">
        <v>623</v>
      </c>
      <c r="D419" s="1"/>
      <c r="E419" s="1"/>
      <c r="F419" s="1"/>
      <c r="G419" s="7">
        <f>COUNTIF(SheetTable02[Focal Document
Element],A419)</f>
        <v>39</v>
      </c>
      <c r="H419" s="7" t="str">
        <f>IF(A419=A418,"",_xlfn.TEXTJOIN(", ", TRUE, C419:INDEX(C:C, ROW(C419)+SheetTable02[[#This Row],[Column1]]-1)))</f>
        <v/>
      </c>
    </row>
    <row r="420" spans="1:8" ht="43.2">
      <c r="A420" s="1" t="s">
        <v>199</v>
      </c>
      <c r="B420" s="1" t="s">
        <v>201</v>
      </c>
      <c r="C420" s="1" t="s">
        <v>594</v>
      </c>
      <c r="D420" s="1"/>
      <c r="E420" s="1"/>
      <c r="F420" s="1"/>
      <c r="G420" s="7">
        <f>COUNTIF(SheetTable02[Focal Document
Element],A420)</f>
        <v>39</v>
      </c>
      <c r="H420" s="7" t="str">
        <f>IF(A420=A419,"",_xlfn.TEXTJOIN(", ", TRUE, C420:INDEX(C:C, ROW(C420)+SheetTable02[[#This Row],[Column1]]-1)))</f>
        <v/>
      </c>
    </row>
    <row r="421" spans="1:8" ht="43.2">
      <c r="A421" s="1" t="s">
        <v>199</v>
      </c>
      <c r="B421" s="1" t="s">
        <v>201</v>
      </c>
      <c r="C421" s="1" t="s">
        <v>424</v>
      </c>
      <c r="D421" s="1"/>
      <c r="E421" s="1"/>
      <c r="F421" s="1"/>
      <c r="G421" s="7">
        <f>COUNTIF(SheetTable02[Focal Document
Element],A421)</f>
        <v>39</v>
      </c>
      <c r="H421" s="7" t="str">
        <f>IF(A421=A420,"",_xlfn.TEXTJOIN(", ", TRUE, C421:INDEX(C:C, ROW(C421)+SheetTable02[[#This Row],[Column1]]-1)))</f>
        <v/>
      </c>
    </row>
    <row r="422" spans="1:8" ht="43.2">
      <c r="A422" s="1" t="s">
        <v>199</v>
      </c>
      <c r="B422" s="1" t="s">
        <v>201</v>
      </c>
      <c r="C422" s="1" t="s">
        <v>622</v>
      </c>
      <c r="D422" s="1"/>
      <c r="E422" s="1"/>
      <c r="F422" s="1"/>
      <c r="G422" s="7">
        <f>COUNTIF(SheetTable02[Focal Document
Element],A422)</f>
        <v>39</v>
      </c>
      <c r="H422" s="7" t="str">
        <f>IF(A422=A421,"",_xlfn.TEXTJOIN(", ", TRUE, C422:INDEX(C:C, ROW(C422)+SheetTable02[[#This Row],[Column1]]-1)))</f>
        <v/>
      </c>
    </row>
    <row r="423" spans="1:8" ht="43.2">
      <c r="A423" s="1" t="s">
        <v>199</v>
      </c>
      <c r="B423" s="1" t="s">
        <v>201</v>
      </c>
      <c r="C423" s="1" t="s">
        <v>621</v>
      </c>
      <c r="D423" s="1"/>
      <c r="E423" s="1"/>
      <c r="F423" s="1"/>
      <c r="G423" s="7">
        <f>COUNTIF(SheetTable02[Focal Document
Element],A423)</f>
        <v>39</v>
      </c>
      <c r="H423" s="7" t="str">
        <f>IF(A423=A422,"",_xlfn.TEXTJOIN(", ", TRUE, C423:INDEX(C:C, ROW(C423)+SheetTable02[[#This Row],[Column1]]-1)))</f>
        <v/>
      </c>
    </row>
    <row r="424" spans="1:8" ht="43.2">
      <c r="A424" s="1" t="s">
        <v>199</v>
      </c>
      <c r="B424" s="1" t="s">
        <v>201</v>
      </c>
      <c r="C424" s="1" t="s">
        <v>620</v>
      </c>
      <c r="D424" s="1"/>
      <c r="E424" s="1"/>
      <c r="F424" s="1"/>
      <c r="G424" s="7">
        <f>COUNTIF(SheetTable02[Focal Document
Element],A424)</f>
        <v>39</v>
      </c>
      <c r="H424" s="7" t="str">
        <f>IF(A424=A423,"",_xlfn.TEXTJOIN(", ", TRUE, C424:INDEX(C:C, ROW(C424)+SheetTable02[[#This Row],[Column1]]-1)))</f>
        <v/>
      </c>
    </row>
    <row r="425" spans="1:8" ht="43.2">
      <c r="A425" s="1" t="s">
        <v>199</v>
      </c>
      <c r="B425" s="1" t="s">
        <v>201</v>
      </c>
      <c r="C425" s="1" t="s">
        <v>619</v>
      </c>
      <c r="D425" s="1"/>
      <c r="E425" s="1"/>
      <c r="F425" s="1"/>
      <c r="G425" s="7">
        <f>COUNTIF(SheetTable02[Focal Document
Element],A425)</f>
        <v>39</v>
      </c>
      <c r="H425" s="7" t="str">
        <f>IF(A425=A424,"",_xlfn.TEXTJOIN(", ", TRUE, C425:INDEX(C:C, ROW(C425)+SheetTable02[[#This Row],[Column1]]-1)))</f>
        <v/>
      </c>
    </row>
    <row r="426" spans="1:8" ht="43.2">
      <c r="A426" s="1" t="s">
        <v>199</v>
      </c>
      <c r="B426" s="1" t="s">
        <v>201</v>
      </c>
      <c r="C426" s="1" t="s">
        <v>618</v>
      </c>
      <c r="D426" s="1"/>
      <c r="E426" s="1"/>
      <c r="F426" s="1"/>
      <c r="G426" s="7">
        <f>COUNTIF(SheetTable02[Focal Document
Element],A426)</f>
        <v>39</v>
      </c>
      <c r="H426" s="7" t="str">
        <f>IF(A426=A425,"",_xlfn.TEXTJOIN(", ", TRUE, C426:INDEX(C:C, ROW(C426)+SheetTable02[[#This Row],[Column1]]-1)))</f>
        <v/>
      </c>
    </row>
    <row r="427" spans="1:8" ht="43.2">
      <c r="A427" s="1" t="s">
        <v>199</v>
      </c>
      <c r="B427" s="1" t="s">
        <v>201</v>
      </c>
      <c r="C427" s="1" t="s">
        <v>617</v>
      </c>
      <c r="D427" s="1"/>
      <c r="E427" s="1"/>
      <c r="F427" s="1"/>
      <c r="G427" s="7">
        <f>COUNTIF(SheetTable02[Focal Document
Element],A427)</f>
        <v>39</v>
      </c>
      <c r="H427" s="7" t="str">
        <f>IF(A427=A426,"",_xlfn.TEXTJOIN(", ", TRUE, C427:INDEX(C:C, ROW(C427)+SheetTable02[[#This Row],[Column1]]-1)))</f>
        <v/>
      </c>
    </row>
    <row r="428" spans="1:8" ht="43.2">
      <c r="A428" s="1" t="s">
        <v>199</v>
      </c>
      <c r="B428" s="1" t="s">
        <v>201</v>
      </c>
      <c r="C428" s="1" t="s">
        <v>616</v>
      </c>
      <c r="D428" s="1"/>
      <c r="E428" s="1"/>
      <c r="F428" s="1"/>
      <c r="G428" s="7">
        <f>COUNTIF(SheetTable02[Focal Document
Element],A428)</f>
        <v>39</v>
      </c>
      <c r="H428" s="7" t="str">
        <f>IF(A428=A427,"",_xlfn.TEXTJOIN(", ", TRUE, C428:INDEX(C:C, ROW(C428)+SheetTable02[[#This Row],[Column1]]-1)))</f>
        <v/>
      </c>
    </row>
    <row r="429" spans="1:8" ht="43.2">
      <c r="A429" s="1" t="s">
        <v>199</v>
      </c>
      <c r="B429" s="1" t="s">
        <v>201</v>
      </c>
      <c r="C429" s="1" t="s">
        <v>615</v>
      </c>
      <c r="D429" s="1"/>
      <c r="E429" s="1"/>
      <c r="F429" s="1"/>
      <c r="G429" s="7">
        <f>COUNTIF(SheetTable02[Focal Document
Element],A429)</f>
        <v>39</v>
      </c>
      <c r="H429" s="7" t="str">
        <f>IF(A429=A428,"",_xlfn.TEXTJOIN(", ", TRUE, C429:INDEX(C:C, ROW(C429)+SheetTable02[[#This Row],[Column1]]-1)))</f>
        <v/>
      </c>
    </row>
    <row r="430" spans="1:8" ht="43.2">
      <c r="A430" s="1" t="s">
        <v>199</v>
      </c>
      <c r="B430" s="1" t="s">
        <v>201</v>
      </c>
      <c r="C430" s="1" t="s">
        <v>614</v>
      </c>
      <c r="D430" s="1"/>
      <c r="E430" s="1"/>
      <c r="F430" s="1"/>
      <c r="G430" s="7">
        <f>COUNTIF(SheetTable02[Focal Document
Element],A430)</f>
        <v>39</v>
      </c>
      <c r="H430" s="7" t="str">
        <f>IF(A430=A429,"",_xlfn.TEXTJOIN(", ", TRUE, C430:INDEX(C:C, ROW(C430)+SheetTable02[[#This Row],[Column1]]-1)))</f>
        <v/>
      </c>
    </row>
    <row r="431" spans="1:8" ht="43.2">
      <c r="A431" s="1" t="s">
        <v>199</v>
      </c>
      <c r="B431" s="1" t="s">
        <v>201</v>
      </c>
      <c r="C431" s="1" t="s">
        <v>613</v>
      </c>
      <c r="D431" s="1"/>
      <c r="E431" s="1"/>
      <c r="F431" s="1"/>
      <c r="G431" s="7">
        <f>COUNTIF(SheetTable02[Focal Document
Element],A431)</f>
        <v>39</v>
      </c>
      <c r="H431" s="7" t="str">
        <f>IF(A431=A430,"",_xlfn.TEXTJOIN(", ", TRUE, C431:INDEX(C:C, ROW(C431)+SheetTable02[[#This Row],[Column1]]-1)))</f>
        <v/>
      </c>
    </row>
    <row r="432" spans="1:8" ht="43.2">
      <c r="A432" s="1" t="s">
        <v>199</v>
      </c>
      <c r="B432" s="1" t="s">
        <v>201</v>
      </c>
      <c r="C432" s="1" t="s">
        <v>612</v>
      </c>
      <c r="D432" s="1"/>
      <c r="E432" s="1"/>
      <c r="F432" s="1"/>
      <c r="G432" s="7">
        <f>COUNTIF(SheetTable02[Focal Document
Element],A432)</f>
        <v>39</v>
      </c>
      <c r="H432" s="7" t="str">
        <f>IF(A432=A431,"",_xlfn.TEXTJOIN(", ", TRUE, C432:INDEX(C:C, ROW(C432)+SheetTable02[[#This Row],[Column1]]-1)))</f>
        <v/>
      </c>
    </row>
    <row r="433" spans="1:8" ht="43.2">
      <c r="A433" s="1" t="s">
        <v>199</v>
      </c>
      <c r="B433" s="1" t="s">
        <v>201</v>
      </c>
      <c r="C433" s="1" t="s">
        <v>611</v>
      </c>
      <c r="D433" s="1"/>
      <c r="E433" s="1"/>
      <c r="F433" s="1"/>
      <c r="G433" s="7">
        <f>COUNTIF(SheetTable02[Focal Document
Element],A433)</f>
        <v>39</v>
      </c>
      <c r="H433" s="7" t="str">
        <f>IF(A433=A432,"",_xlfn.TEXTJOIN(", ", TRUE, C433:INDEX(C:C, ROW(C433)+SheetTable02[[#This Row],[Column1]]-1)))</f>
        <v/>
      </c>
    </row>
    <row r="434" spans="1:8" ht="43.2">
      <c r="A434" s="1" t="s">
        <v>199</v>
      </c>
      <c r="B434" s="1" t="s">
        <v>201</v>
      </c>
      <c r="C434" s="1" t="s">
        <v>610</v>
      </c>
      <c r="D434" s="1"/>
      <c r="E434" s="1"/>
      <c r="F434" s="1"/>
      <c r="G434" s="7">
        <f>COUNTIF(SheetTable02[Focal Document
Element],A434)</f>
        <v>39</v>
      </c>
      <c r="H434" s="7" t="str">
        <f>IF(A434=A433,"",_xlfn.TEXTJOIN(", ", TRUE, C434:INDEX(C:C, ROW(C434)+SheetTable02[[#This Row],[Column1]]-1)))</f>
        <v/>
      </c>
    </row>
    <row r="435" spans="1:8" ht="43.2">
      <c r="A435" s="1" t="s">
        <v>199</v>
      </c>
      <c r="B435" s="1" t="s">
        <v>201</v>
      </c>
      <c r="C435" s="1" t="s">
        <v>609</v>
      </c>
      <c r="D435" s="1"/>
      <c r="E435" s="1"/>
      <c r="F435" s="1"/>
      <c r="G435" s="7">
        <f>COUNTIF(SheetTable02[Focal Document
Element],A435)</f>
        <v>39</v>
      </c>
      <c r="H435" s="7" t="str">
        <f>IF(A435=A434,"",_xlfn.TEXTJOIN(", ", TRUE, C435:INDEX(C:C, ROW(C435)+SheetTable02[[#This Row],[Column1]]-1)))</f>
        <v/>
      </c>
    </row>
    <row r="436" spans="1:8" ht="43.2">
      <c r="A436" s="1" t="s">
        <v>199</v>
      </c>
      <c r="B436" s="1" t="s">
        <v>201</v>
      </c>
      <c r="C436" s="1" t="s">
        <v>462</v>
      </c>
      <c r="D436" s="1"/>
      <c r="E436" s="1"/>
      <c r="F436" s="1"/>
      <c r="G436" s="7">
        <f>COUNTIF(SheetTable02[Focal Document
Element],A436)</f>
        <v>39</v>
      </c>
      <c r="H436" s="7" t="str">
        <f>IF(A436=A435,"",_xlfn.TEXTJOIN(", ", TRUE, C436:INDEX(C:C, ROW(C436)+SheetTable02[[#This Row],[Column1]]-1)))</f>
        <v/>
      </c>
    </row>
    <row r="437" spans="1:8" ht="43.2">
      <c r="A437" s="1" t="s">
        <v>199</v>
      </c>
      <c r="B437" s="1" t="s">
        <v>201</v>
      </c>
      <c r="C437" s="1" t="s">
        <v>608</v>
      </c>
      <c r="D437" s="1"/>
      <c r="E437" s="1"/>
      <c r="F437" s="1"/>
      <c r="G437" s="7">
        <f>COUNTIF(SheetTable02[Focal Document
Element],A437)</f>
        <v>39</v>
      </c>
      <c r="H437" s="7" t="str">
        <f>IF(A437=A436,"",_xlfn.TEXTJOIN(", ", TRUE, C437:INDEX(C:C, ROW(C437)+SheetTable02[[#This Row],[Column1]]-1)))</f>
        <v/>
      </c>
    </row>
    <row r="438" spans="1:8" ht="43.2">
      <c r="A438" s="1" t="s">
        <v>199</v>
      </c>
      <c r="B438" s="1" t="s">
        <v>201</v>
      </c>
      <c r="C438" s="1" t="s">
        <v>417</v>
      </c>
      <c r="D438" s="1"/>
      <c r="E438" s="1"/>
      <c r="F438" s="1"/>
      <c r="G438" s="7">
        <f>COUNTIF(SheetTable02[Focal Document
Element],A438)</f>
        <v>39</v>
      </c>
      <c r="H438" s="7" t="str">
        <f>IF(A438=A437,"",_xlfn.TEXTJOIN(", ", TRUE, C438:INDEX(C:C, ROW(C438)+SheetTable02[[#This Row],[Column1]]-1)))</f>
        <v/>
      </c>
    </row>
    <row r="439" spans="1:8" ht="43.2">
      <c r="A439" s="1" t="s">
        <v>199</v>
      </c>
      <c r="B439" s="1" t="s">
        <v>201</v>
      </c>
      <c r="C439" s="1" t="s">
        <v>416</v>
      </c>
      <c r="D439" s="1"/>
      <c r="E439" s="1"/>
      <c r="F439" s="1"/>
      <c r="G439" s="7">
        <f>COUNTIF(SheetTable02[Focal Document
Element],A439)</f>
        <v>39</v>
      </c>
      <c r="H439" s="7" t="str">
        <f>IF(A439=A438,"",_xlfn.TEXTJOIN(", ", TRUE, C439:INDEX(C:C, ROW(C439)+SheetTable02[[#This Row],[Column1]]-1)))</f>
        <v/>
      </c>
    </row>
    <row r="440" spans="1:8" ht="43.2">
      <c r="A440" s="1" t="s">
        <v>199</v>
      </c>
      <c r="B440" s="1" t="s">
        <v>201</v>
      </c>
      <c r="C440" s="1" t="s">
        <v>422</v>
      </c>
      <c r="D440" s="1"/>
      <c r="E440" s="1"/>
      <c r="F440" s="1"/>
      <c r="G440" s="7">
        <f>COUNTIF(SheetTable02[Focal Document
Element],A440)</f>
        <v>39</v>
      </c>
      <c r="H440" s="7" t="str">
        <f>IF(A440=A439,"",_xlfn.TEXTJOIN(", ", TRUE, C440:INDEX(C:C, ROW(C440)+SheetTable02[[#This Row],[Column1]]-1)))</f>
        <v/>
      </c>
    </row>
    <row r="441" spans="1:8" ht="43.2">
      <c r="A441" s="1" t="s">
        <v>199</v>
      </c>
      <c r="B441" s="1" t="s">
        <v>201</v>
      </c>
      <c r="C441" s="1" t="s">
        <v>602</v>
      </c>
      <c r="D441" s="1"/>
      <c r="E441" s="1"/>
      <c r="F441" s="1"/>
      <c r="G441" s="7">
        <f>COUNTIF(SheetTable02[Focal Document
Element],A441)</f>
        <v>39</v>
      </c>
      <c r="H441" s="7" t="str">
        <f>IF(A441=A440,"",_xlfn.TEXTJOIN(", ", TRUE, C441:INDEX(C:C, ROW(C441)+SheetTable02[[#This Row],[Column1]]-1)))</f>
        <v/>
      </c>
    </row>
    <row r="442" spans="1:8" ht="43.2">
      <c r="A442" s="1" t="s">
        <v>199</v>
      </c>
      <c r="B442" s="1" t="s">
        <v>201</v>
      </c>
      <c r="C442" s="1" t="s">
        <v>607</v>
      </c>
      <c r="D442" s="1"/>
      <c r="E442" s="1"/>
      <c r="F442" s="1"/>
      <c r="G442" s="7">
        <f>COUNTIF(SheetTable02[Focal Document
Element],A442)</f>
        <v>39</v>
      </c>
      <c r="H442" s="7" t="str">
        <f>IF(A442=A441,"",_xlfn.TEXTJOIN(", ", TRUE, C442:INDEX(C:C, ROW(C442)+SheetTable02[[#This Row],[Column1]]-1)))</f>
        <v/>
      </c>
    </row>
    <row r="443" spans="1:8" ht="43.2">
      <c r="A443" s="1" t="s">
        <v>199</v>
      </c>
      <c r="B443" s="1" t="s">
        <v>201</v>
      </c>
      <c r="C443" s="1" t="s">
        <v>606</v>
      </c>
      <c r="D443" s="1"/>
      <c r="E443" s="1"/>
      <c r="F443" s="1"/>
      <c r="G443" s="7">
        <f>COUNTIF(SheetTable02[Focal Document
Element],A443)</f>
        <v>39</v>
      </c>
      <c r="H443" s="7" t="str">
        <f>IF(A443=A442,"",_xlfn.TEXTJOIN(", ", TRUE, C443:INDEX(C:C, ROW(C443)+SheetTable02[[#This Row],[Column1]]-1)))</f>
        <v/>
      </c>
    </row>
    <row r="444" spans="1:8" ht="43.2">
      <c r="A444" s="1" t="s">
        <v>199</v>
      </c>
      <c r="B444" s="1" t="s">
        <v>201</v>
      </c>
      <c r="C444" s="1" t="s">
        <v>442</v>
      </c>
      <c r="D444" s="1"/>
      <c r="E444" s="1"/>
      <c r="F444" s="1"/>
      <c r="G444" s="7">
        <f>COUNTIF(SheetTable02[Focal Document
Element],A444)</f>
        <v>39</v>
      </c>
      <c r="H444" s="7" t="str">
        <f>IF(A444=A443,"",_xlfn.TEXTJOIN(", ", TRUE, C444:INDEX(C:C, ROW(C444)+SheetTable02[[#This Row],[Column1]]-1)))</f>
        <v/>
      </c>
    </row>
    <row r="445" spans="1:8" ht="43.2">
      <c r="A445" s="1" t="s">
        <v>199</v>
      </c>
      <c r="B445" s="1" t="s">
        <v>201</v>
      </c>
      <c r="C445" s="1" t="s">
        <v>605</v>
      </c>
      <c r="D445" s="1"/>
      <c r="E445" s="1"/>
      <c r="F445" s="1"/>
      <c r="G445" s="7">
        <f>COUNTIF(SheetTable02[Focal Document
Element],A445)</f>
        <v>39</v>
      </c>
      <c r="H445" s="7" t="str">
        <f>IF(A445=A444,"",_xlfn.TEXTJOIN(", ", TRUE, C445:INDEX(C:C, ROW(C445)+SheetTable02[[#This Row],[Column1]]-1)))</f>
        <v/>
      </c>
    </row>
    <row r="446" spans="1:8" ht="43.2">
      <c r="A446" s="1" t="s">
        <v>199</v>
      </c>
      <c r="B446" s="1" t="s">
        <v>201</v>
      </c>
      <c r="C446" s="1" t="s">
        <v>441</v>
      </c>
      <c r="D446" s="1"/>
      <c r="E446" s="1"/>
      <c r="F446" s="1"/>
      <c r="G446" s="7">
        <f>COUNTIF(SheetTable02[Focal Document
Element],A446)</f>
        <v>39</v>
      </c>
      <c r="H446" s="7" t="str">
        <f>IF(A446=A445,"",_xlfn.TEXTJOIN(", ", TRUE, C446:INDEX(C:C, ROW(C446)+SheetTable02[[#This Row],[Column1]]-1)))</f>
        <v/>
      </c>
    </row>
    <row r="447" spans="1:8" ht="43.2">
      <c r="A447" s="1" t="s">
        <v>199</v>
      </c>
      <c r="B447" s="1" t="s">
        <v>201</v>
      </c>
      <c r="C447" s="1" t="s">
        <v>477</v>
      </c>
      <c r="D447" s="1"/>
      <c r="E447" s="1"/>
      <c r="F447" s="1"/>
      <c r="G447" s="7">
        <f>COUNTIF(SheetTable02[Focal Document
Element],A447)</f>
        <v>39</v>
      </c>
      <c r="H447" s="7" t="str">
        <f>IF(A447=A446,"",_xlfn.TEXTJOIN(", ", TRUE, C447:INDEX(C:C, ROW(C447)+SheetTable02[[#This Row],[Column1]]-1)))</f>
        <v/>
      </c>
    </row>
    <row r="448" spans="1:8" ht="43.2">
      <c r="A448" s="1" t="s">
        <v>199</v>
      </c>
      <c r="B448" s="1" t="s">
        <v>201</v>
      </c>
      <c r="C448" s="1" t="s">
        <v>499</v>
      </c>
      <c r="D448" s="1"/>
      <c r="E448" s="1"/>
      <c r="F448" s="1"/>
      <c r="G448" s="7">
        <f>COUNTIF(SheetTable02[Focal Document
Element],A448)</f>
        <v>39</v>
      </c>
      <c r="H448" s="7" t="str">
        <f>IF(A448=A447,"",_xlfn.TEXTJOIN(", ", TRUE, C448:INDEX(C:C, ROW(C448)+SheetTable02[[#This Row],[Column1]]-1)))</f>
        <v/>
      </c>
    </row>
    <row r="449" spans="1:8" ht="43.2">
      <c r="A449" s="1" t="s">
        <v>199</v>
      </c>
      <c r="B449" s="1" t="s">
        <v>201</v>
      </c>
      <c r="C449" s="1" t="s">
        <v>517</v>
      </c>
      <c r="D449" s="1"/>
      <c r="E449" s="1"/>
      <c r="F449" s="1"/>
      <c r="G449" s="7">
        <f>COUNTIF(SheetTable02[Focal Document
Element],A449)</f>
        <v>39</v>
      </c>
      <c r="H449" s="7" t="str">
        <f>IF(A449=A448,"",_xlfn.TEXTJOIN(", ", TRUE, C449:INDEX(C:C, ROW(C449)+SheetTable02[[#This Row],[Column1]]-1)))</f>
        <v/>
      </c>
    </row>
    <row r="450" spans="1:8" ht="43.2">
      <c r="A450" s="1" t="s">
        <v>199</v>
      </c>
      <c r="B450" s="1" t="s">
        <v>201</v>
      </c>
      <c r="C450" s="1" t="s">
        <v>532</v>
      </c>
      <c r="D450" s="1"/>
      <c r="E450" s="1"/>
      <c r="F450" s="1"/>
      <c r="G450" s="7">
        <f>COUNTIF(SheetTable02[Focal Document
Element],A450)</f>
        <v>39</v>
      </c>
      <c r="H450" s="7" t="str">
        <f>IF(A450=A449,"",_xlfn.TEXTJOIN(", ", TRUE, C450:INDEX(C:C, ROW(C450)+SheetTable02[[#This Row],[Column1]]-1)))</f>
        <v/>
      </c>
    </row>
    <row r="451" spans="1:8" ht="43.2">
      <c r="A451" s="1" t="s">
        <v>199</v>
      </c>
      <c r="B451" s="1" t="s">
        <v>201</v>
      </c>
      <c r="C451" s="1" t="s">
        <v>461</v>
      </c>
      <c r="D451" s="1"/>
      <c r="E451" s="1"/>
      <c r="F451" s="1"/>
      <c r="G451" s="7">
        <f>COUNTIF(SheetTable02[Focal Document
Element],A451)</f>
        <v>39</v>
      </c>
      <c r="H451" s="7" t="str">
        <f>IF(A451=A450,"",_xlfn.TEXTJOIN(", ", TRUE, C451:INDEX(C:C, ROW(C451)+SheetTable02[[#This Row],[Column1]]-1)))</f>
        <v/>
      </c>
    </row>
    <row r="452" spans="1:8" ht="43.2">
      <c r="A452" s="1" t="s">
        <v>199</v>
      </c>
      <c r="B452" s="1" t="s">
        <v>201</v>
      </c>
      <c r="C452" s="1" t="s">
        <v>604</v>
      </c>
      <c r="D452" s="1"/>
      <c r="E452" s="1"/>
      <c r="F452" s="1"/>
      <c r="G452" s="7">
        <f>COUNTIF(SheetTable02[Focal Document
Element],A452)</f>
        <v>39</v>
      </c>
      <c r="H452" s="7" t="str">
        <f>IF(A452=A451,"",_xlfn.TEXTJOIN(", ", TRUE, C452:INDEX(C:C, ROW(C452)+SheetTable02[[#This Row],[Column1]]-1)))</f>
        <v/>
      </c>
    </row>
    <row r="453" spans="1:8" ht="72">
      <c r="A453" s="1" t="s">
        <v>203</v>
      </c>
      <c r="B453" s="1" t="s">
        <v>205</v>
      </c>
      <c r="C453" s="1" t="s">
        <v>603</v>
      </c>
      <c r="D453" s="1"/>
      <c r="E453" s="1"/>
      <c r="F453" s="1"/>
      <c r="G453" s="7">
        <f>COUNTIF(SheetTable02[Focal Document
Element],A453)</f>
        <v>4</v>
      </c>
      <c r="H453" s="7" t="str">
        <f>IF(A453=A452,"",_xlfn.TEXTJOIN(", ", TRUE, C453:INDEX(C:C, ROW(C453)+SheetTable02[[#This Row],[Column1]]-1)))</f>
        <v>CP-02
, IR-08, PL-02, SR-02</v>
      </c>
    </row>
    <row r="454" spans="1:8" ht="72">
      <c r="A454" s="1" t="s">
        <v>203</v>
      </c>
      <c r="B454" s="1" t="s">
        <v>205</v>
      </c>
      <c r="C454" s="1" t="s">
        <v>422</v>
      </c>
      <c r="D454" s="1"/>
      <c r="E454" s="1"/>
      <c r="F454" s="1"/>
      <c r="G454" s="7">
        <f>COUNTIF(SheetTable02[Focal Document
Element],A454)</f>
        <v>4</v>
      </c>
      <c r="H454" s="7" t="str">
        <f>IF(A454=A453,"",_xlfn.TEXTJOIN(", ", TRUE, C454:INDEX(C:C, ROW(C454)+SheetTable02[[#This Row],[Column1]]-1)))</f>
        <v/>
      </c>
    </row>
    <row r="455" spans="1:8" ht="72">
      <c r="A455" s="1" t="s">
        <v>203</v>
      </c>
      <c r="B455" s="1" t="s">
        <v>205</v>
      </c>
      <c r="C455" s="1" t="s">
        <v>602</v>
      </c>
      <c r="D455" s="1"/>
      <c r="E455" s="1"/>
      <c r="F455" s="1"/>
      <c r="G455" s="7">
        <f>COUNTIF(SheetTable02[Focal Document
Element],A455)</f>
        <v>4</v>
      </c>
      <c r="H455" s="7" t="str">
        <f>IF(A455=A454,"",_xlfn.TEXTJOIN(", ", TRUE, C455:INDEX(C:C, ROW(C455)+SheetTable02[[#This Row],[Column1]]-1)))</f>
        <v/>
      </c>
    </row>
    <row r="456" spans="1:8" ht="72">
      <c r="A456" s="1" t="s">
        <v>203</v>
      </c>
      <c r="B456" s="1" t="s">
        <v>205</v>
      </c>
      <c r="C456" s="1" t="s">
        <v>601</v>
      </c>
      <c r="D456" s="1"/>
      <c r="E456" s="1"/>
      <c r="F456" s="1"/>
      <c r="G456" s="7">
        <f>COUNTIF(SheetTable02[Focal Document
Element],A456)</f>
        <v>4</v>
      </c>
      <c r="H456" s="7" t="str">
        <f>IF(A456=A455,"",_xlfn.TEXTJOIN(", ", TRUE, C456:INDEX(C:C, ROW(C456)+SheetTable02[[#This Row],[Column1]]-1)))</f>
        <v/>
      </c>
    </row>
    <row r="457" spans="1:8" ht="43.2">
      <c r="A457" s="1" t="s">
        <v>600</v>
      </c>
      <c r="B457" s="1" t="s">
        <v>599</v>
      </c>
      <c r="C457" s="1"/>
      <c r="D457" s="1"/>
      <c r="E457" s="1"/>
      <c r="F457" s="1"/>
      <c r="G457" s="7">
        <f>COUNTIF(SheetTable02[Focal Document
Element],A457)</f>
        <v>1</v>
      </c>
      <c r="H457" s="7" t="str">
        <f>IF(A457=A456,"",_xlfn.TEXTJOIN(", ", TRUE, C457:INDEX(C:C, ROW(C457)+SheetTable02[[#This Row],[Column1]]-1)))</f>
        <v/>
      </c>
    </row>
    <row r="458" spans="1:8" ht="72">
      <c r="A458" s="1" t="s">
        <v>598</v>
      </c>
      <c r="B458" s="1" t="s">
        <v>597</v>
      </c>
      <c r="C458" s="1"/>
      <c r="D458" s="1"/>
      <c r="E458" s="1"/>
      <c r="F458" s="1"/>
      <c r="G458" s="7">
        <f>COUNTIF(SheetTable02[Focal Document
Element],A458)</f>
        <v>1</v>
      </c>
      <c r="H458" s="7" t="str">
        <f>IF(A458=A457,"",_xlfn.TEXTJOIN(", ", TRUE, C458:INDEX(C:C, ROW(C458)+SheetTable02[[#This Row],[Column1]]-1)))</f>
        <v/>
      </c>
    </row>
    <row r="459" spans="1:8" ht="43.2">
      <c r="A459" s="1" t="s">
        <v>207</v>
      </c>
      <c r="B459" s="1" t="s">
        <v>209</v>
      </c>
      <c r="C459" s="1" t="s">
        <v>596</v>
      </c>
      <c r="D459" s="1"/>
      <c r="E459" s="1"/>
      <c r="F459" s="1"/>
      <c r="G459" s="7">
        <f>COUNTIF(SheetTable02[Focal Document
Element],A459)</f>
        <v>14</v>
      </c>
      <c r="H459" s="7" t="str">
        <f>IF(A459=A458,"",_xlfn.TEXTJOIN(", ", TRUE, C459:INDEX(C:C, ROW(C459)+SheetTable02[[#This Row],[Column1]]-1)))</f>
        <v>AC-01
, AC-02, AC-14, IA-01, IA-02, IA-03, IA-04, IA-05, IA-06, IA-07, IA-08, IA-09, IA-10, IA-11</v>
      </c>
    </row>
    <row r="460" spans="1:8" ht="43.2">
      <c r="A460" s="1" t="s">
        <v>207</v>
      </c>
      <c r="B460" s="1" t="s">
        <v>209</v>
      </c>
      <c r="C460" s="1" t="s">
        <v>480</v>
      </c>
      <c r="D460" s="1"/>
      <c r="E460" s="1"/>
      <c r="F460" s="1"/>
      <c r="G460" s="7">
        <f>COUNTIF(SheetTable02[Focal Document
Element],A460)</f>
        <v>14</v>
      </c>
      <c r="H460" s="7" t="str">
        <f>IF(A460=A459,"",_xlfn.TEXTJOIN(", ", TRUE, C460:INDEX(C:C, ROW(C460)+SheetTable02[[#This Row],[Column1]]-1)))</f>
        <v/>
      </c>
    </row>
    <row r="461" spans="1:8" ht="43.2">
      <c r="A461" s="1" t="s">
        <v>207</v>
      </c>
      <c r="B461" s="1" t="s">
        <v>209</v>
      </c>
      <c r="C461" s="1" t="s">
        <v>595</v>
      </c>
      <c r="D461" s="1"/>
      <c r="E461" s="1"/>
      <c r="F461" s="1"/>
      <c r="G461" s="7">
        <f>COUNTIF(SheetTable02[Focal Document
Element],A461)</f>
        <v>14</v>
      </c>
      <c r="H461" s="7" t="str">
        <f>IF(A461=A460,"",_xlfn.TEXTJOIN(", ", TRUE, C461:INDEX(C:C, ROW(C461)+SheetTable02[[#This Row],[Column1]]-1)))</f>
        <v/>
      </c>
    </row>
    <row r="462" spans="1:8" ht="43.2">
      <c r="A462" s="1" t="s">
        <v>207</v>
      </c>
      <c r="B462" s="1" t="s">
        <v>209</v>
      </c>
      <c r="C462" s="1" t="s">
        <v>594</v>
      </c>
      <c r="D462" s="1"/>
      <c r="E462" s="1"/>
      <c r="F462" s="1"/>
      <c r="G462" s="7">
        <f>COUNTIF(SheetTable02[Focal Document
Element],A462)</f>
        <v>14</v>
      </c>
      <c r="H462" s="7" t="str">
        <f>IF(A462=A461,"",_xlfn.TEXTJOIN(", ", TRUE, C462:INDEX(C:C, ROW(C462)+SheetTable02[[#This Row],[Column1]]-1)))</f>
        <v/>
      </c>
    </row>
    <row r="463" spans="1:8" ht="43.2">
      <c r="A463" s="1" t="s">
        <v>207</v>
      </c>
      <c r="B463" s="1" t="s">
        <v>209</v>
      </c>
      <c r="C463" s="1" t="s">
        <v>588</v>
      </c>
      <c r="D463" s="1"/>
      <c r="E463" s="1"/>
      <c r="F463" s="1"/>
      <c r="G463" s="7">
        <f>COUNTIF(SheetTable02[Focal Document
Element],A463)</f>
        <v>14</v>
      </c>
      <c r="H463" s="7" t="str">
        <f>IF(A463=A462,"",_xlfn.TEXTJOIN(", ", TRUE, C463:INDEX(C:C, ROW(C463)+SheetTable02[[#This Row],[Column1]]-1)))</f>
        <v/>
      </c>
    </row>
    <row r="464" spans="1:8" ht="43.2">
      <c r="A464" s="1" t="s">
        <v>207</v>
      </c>
      <c r="B464" s="1" t="s">
        <v>209</v>
      </c>
      <c r="C464" s="1" t="s">
        <v>587</v>
      </c>
      <c r="D464" s="1"/>
      <c r="E464" s="1"/>
      <c r="F464" s="1"/>
      <c r="G464" s="7">
        <f>COUNTIF(SheetTable02[Focal Document
Element],A464)</f>
        <v>14</v>
      </c>
      <c r="H464" s="7" t="str">
        <f>IF(A464=A463,"",_xlfn.TEXTJOIN(", ", TRUE, C464:INDEX(C:C, ROW(C464)+SheetTable02[[#This Row],[Column1]]-1)))</f>
        <v/>
      </c>
    </row>
    <row r="465" spans="1:8" ht="43.2">
      <c r="A465" s="1" t="s">
        <v>207</v>
      </c>
      <c r="B465" s="1" t="s">
        <v>209</v>
      </c>
      <c r="C465" s="1" t="s">
        <v>593</v>
      </c>
      <c r="D465" s="1"/>
      <c r="E465" s="1"/>
      <c r="F465" s="1"/>
      <c r="G465" s="7">
        <f>COUNTIF(SheetTable02[Focal Document
Element],A465)</f>
        <v>14</v>
      </c>
      <c r="H465" s="7" t="str">
        <f>IF(A465=A464,"",_xlfn.TEXTJOIN(", ", TRUE, C465:INDEX(C:C, ROW(C465)+SheetTable02[[#This Row],[Column1]]-1)))</f>
        <v/>
      </c>
    </row>
    <row r="466" spans="1:8" ht="43.2">
      <c r="A466" s="1" t="s">
        <v>207</v>
      </c>
      <c r="B466" s="1" t="s">
        <v>209</v>
      </c>
      <c r="C466" s="1" t="s">
        <v>586</v>
      </c>
      <c r="D466" s="1"/>
      <c r="E466" s="1"/>
      <c r="F466" s="1"/>
      <c r="G466" s="7">
        <f>COUNTIF(SheetTable02[Focal Document
Element],A466)</f>
        <v>14</v>
      </c>
      <c r="H466" s="7" t="str">
        <f>IF(A466=A465,"",_xlfn.TEXTJOIN(", ", TRUE, C466:INDEX(C:C, ROW(C466)+SheetTable02[[#This Row],[Column1]]-1)))</f>
        <v/>
      </c>
    </row>
    <row r="467" spans="1:8" ht="43.2">
      <c r="A467" s="1" t="s">
        <v>207</v>
      </c>
      <c r="B467" s="1" t="s">
        <v>209</v>
      </c>
      <c r="C467" s="1" t="s">
        <v>592</v>
      </c>
      <c r="D467" s="1"/>
      <c r="E467" s="1"/>
      <c r="F467" s="1"/>
      <c r="G467" s="7">
        <f>COUNTIF(SheetTable02[Focal Document
Element],A467)</f>
        <v>14</v>
      </c>
      <c r="H467" s="7" t="str">
        <f>IF(A467=A466,"",_xlfn.TEXTJOIN(", ", TRUE, C467:INDEX(C:C, ROW(C467)+SheetTable02[[#This Row],[Column1]]-1)))</f>
        <v/>
      </c>
    </row>
    <row r="468" spans="1:8" ht="43.2">
      <c r="A468" s="1" t="s">
        <v>207</v>
      </c>
      <c r="B468" s="1" t="s">
        <v>209</v>
      </c>
      <c r="C468" s="1" t="s">
        <v>585</v>
      </c>
      <c r="D468" s="1"/>
      <c r="E468" s="1"/>
      <c r="F468" s="1"/>
      <c r="G468" s="7">
        <f>COUNTIF(SheetTable02[Focal Document
Element],A468)</f>
        <v>14</v>
      </c>
      <c r="H468" s="7" t="str">
        <f>IF(A468=A467,"",_xlfn.TEXTJOIN(", ", TRUE, C468:INDEX(C:C, ROW(C468)+SheetTable02[[#This Row],[Column1]]-1)))</f>
        <v/>
      </c>
    </row>
    <row r="469" spans="1:8" ht="43.2">
      <c r="A469" s="1" t="s">
        <v>207</v>
      </c>
      <c r="B469" s="1" t="s">
        <v>209</v>
      </c>
      <c r="C469" s="1" t="s">
        <v>584</v>
      </c>
      <c r="D469" s="1"/>
      <c r="E469" s="1"/>
      <c r="F469" s="1"/>
      <c r="G469" s="7">
        <f>COUNTIF(SheetTable02[Focal Document
Element],A469)</f>
        <v>14</v>
      </c>
      <c r="H469" s="7" t="str">
        <f>IF(A469=A468,"",_xlfn.TEXTJOIN(", ", TRUE, C469:INDEX(C:C, ROW(C469)+SheetTable02[[#This Row],[Column1]]-1)))</f>
        <v/>
      </c>
    </row>
    <row r="470" spans="1:8" ht="43.2">
      <c r="A470" s="1" t="s">
        <v>207</v>
      </c>
      <c r="B470" s="1" t="s">
        <v>209</v>
      </c>
      <c r="C470" s="1" t="s">
        <v>583</v>
      </c>
      <c r="D470" s="1"/>
      <c r="E470" s="1"/>
      <c r="F470" s="1"/>
      <c r="G470" s="7">
        <f>COUNTIF(SheetTable02[Focal Document
Element],A470)</f>
        <v>14</v>
      </c>
      <c r="H470" s="7" t="str">
        <f>IF(A470=A469,"",_xlfn.TEXTJOIN(", ", TRUE, C470:INDEX(C:C, ROW(C470)+SheetTable02[[#This Row],[Column1]]-1)))</f>
        <v/>
      </c>
    </row>
    <row r="471" spans="1:8" ht="43.2">
      <c r="A471" s="1" t="s">
        <v>207</v>
      </c>
      <c r="B471" s="1" t="s">
        <v>209</v>
      </c>
      <c r="C471" s="1" t="s">
        <v>582</v>
      </c>
      <c r="D471" s="1"/>
      <c r="E471" s="1"/>
      <c r="F471" s="1"/>
      <c r="G471" s="7">
        <f>COUNTIF(SheetTable02[Focal Document
Element],A471)</f>
        <v>14</v>
      </c>
      <c r="H471" s="7" t="str">
        <f>IF(A471=A470,"",_xlfn.TEXTJOIN(", ", TRUE, C471:INDEX(C:C, ROW(C471)+SheetTable02[[#This Row],[Column1]]-1)))</f>
        <v/>
      </c>
    </row>
    <row r="472" spans="1:8" ht="43.2">
      <c r="A472" s="1" t="s">
        <v>207</v>
      </c>
      <c r="B472" s="1" t="s">
        <v>209</v>
      </c>
      <c r="C472" s="1" t="s">
        <v>581</v>
      </c>
      <c r="D472" s="1"/>
      <c r="E472" s="1"/>
      <c r="F472" s="1"/>
      <c r="G472" s="7">
        <f>COUNTIF(SheetTable02[Focal Document
Element],A472)</f>
        <v>14</v>
      </c>
      <c r="H472" s="7" t="str">
        <f>IF(A472=A471,"",_xlfn.TEXTJOIN(", ", TRUE, C472:INDEX(C:C, ROW(C472)+SheetTable02[[#This Row],[Column1]]-1)))</f>
        <v/>
      </c>
    </row>
    <row r="473" spans="1:8" ht="43.2">
      <c r="A473" s="1" t="s">
        <v>211</v>
      </c>
      <c r="B473" s="1" t="s">
        <v>213</v>
      </c>
      <c r="C473" s="1" t="s">
        <v>591</v>
      </c>
      <c r="D473" s="1"/>
      <c r="E473" s="1"/>
      <c r="F473" s="1"/>
      <c r="G473" s="7">
        <f>COUNTIF(SheetTable02[Focal Document
Element],A473)</f>
        <v>1</v>
      </c>
      <c r="H473" s="7" t="str">
        <f>IF(A473=A472,"",_xlfn.TEXTJOIN(", ", TRUE, C473:INDEX(C:C, ROW(C473)+SheetTable02[[#This Row],[Column1]]-1)))</f>
        <v>IA-12</v>
      </c>
    </row>
    <row r="474" spans="1:8" ht="28.8">
      <c r="A474" s="1" t="s">
        <v>215</v>
      </c>
      <c r="B474" s="1" t="s">
        <v>217</v>
      </c>
      <c r="C474" s="1" t="s">
        <v>590</v>
      </c>
      <c r="D474" s="1"/>
      <c r="E474" s="1"/>
      <c r="F474" s="1"/>
      <c r="G474" s="7">
        <f>COUNTIF(SheetTable02[Focal Document
Element],A474)</f>
        <v>10</v>
      </c>
      <c r="H474" s="7" t="str">
        <f>IF(A474=A473,"",_xlfn.TEXTJOIN(", ", TRUE, C474:INDEX(C:C, ROW(C474)+SheetTable02[[#This Row],[Column1]]-1)))</f>
        <v>AC-07
, AC-12, IA-02, IA-03, IA-05, IA-07, IA-08, IA-09, IA-10, IA-11</v>
      </c>
    </row>
    <row r="475" spans="1:8" ht="28.8">
      <c r="A475" s="1" t="s">
        <v>215</v>
      </c>
      <c r="B475" s="1" t="s">
        <v>217</v>
      </c>
      <c r="C475" s="1" t="s">
        <v>589</v>
      </c>
      <c r="D475" s="1"/>
      <c r="E475" s="1"/>
      <c r="F475" s="1"/>
      <c r="G475" s="7">
        <f>COUNTIF(SheetTable02[Focal Document
Element],A475)</f>
        <v>10</v>
      </c>
      <c r="H475" s="7" t="str">
        <f>IF(A475=A474,"",_xlfn.TEXTJOIN(", ", TRUE, C475:INDEX(C:C, ROW(C475)+SheetTable02[[#This Row],[Column1]]-1)))</f>
        <v/>
      </c>
    </row>
    <row r="476" spans="1:8" ht="28.8">
      <c r="A476" s="1" t="s">
        <v>215</v>
      </c>
      <c r="B476" s="1" t="s">
        <v>217</v>
      </c>
      <c r="C476" s="1" t="s">
        <v>588</v>
      </c>
      <c r="D476" s="1"/>
      <c r="E476" s="1"/>
      <c r="F476" s="1"/>
      <c r="G476" s="7">
        <f>COUNTIF(SheetTable02[Focal Document
Element],A476)</f>
        <v>10</v>
      </c>
      <c r="H476" s="7" t="str">
        <f>IF(A476=A475,"",_xlfn.TEXTJOIN(", ", TRUE, C476:INDEX(C:C, ROW(C476)+SheetTable02[[#This Row],[Column1]]-1)))</f>
        <v/>
      </c>
    </row>
    <row r="477" spans="1:8" ht="28.8">
      <c r="A477" s="1" t="s">
        <v>215</v>
      </c>
      <c r="B477" s="1" t="s">
        <v>217</v>
      </c>
      <c r="C477" s="1" t="s">
        <v>587</v>
      </c>
      <c r="D477" s="1"/>
      <c r="E477" s="1"/>
      <c r="F477" s="1"/>
      <c r="G477" s="7">
        <f>COUNTIF(SheetTable02[Focal Document
Element],A477)</f>
        <v>10</v>
      </c>
      <c r="H477" s="7" t="str">
        <f>IF(A477=A476,"",_xlfn.TEXTJOIN(", ", TRUE, C477:INDEX(C:C, ROW(C477)+SheetTable02[[#This Row],[Column1]]-1)))</f>
        <v/>
      </c>
    </row>
    <row r="478" spans="1:8" ht="28.8">
      <c r="A478" s="1" t="s">
        <v>215</v>
      </c>
      <c r="B478" s="1" t="s">
        <v>217</v>
      </c>
      <c r="C478" s="1" t="s">
        <v>586</v>
      </c>
      <c r="D478" s="1"/>
      <c r="E478" s="1"/>
      <c r="F478" s="1"/>
      <c r="G478" s="7">
        <f>COUNTIF(SheetTable02[Focal Document
Element],A478)</f>
        <v>10</v>
      </c>
      <c r="H478" s="7" t="str">
        <f>IF(A478=A477,"",_xlfn.TEXTJOIN(", ", TRUE, C478:INDEX(C:C, ROW(C478)+SheetTable02[[#This Row],[Column1]]-1)))</f>
        <v/>
      </c>
    </row>
    <row r="479" spans="1:8" ht="28.8">
      <c r="A479" s="1" t="s">
        <v>215</v>
      </c>
      <c r="B479" s="1" t="s">
        <v>217</v>
      </c>
      <c r="C479" s="1" t="s">
        <v>585</v>
      </c>
      <c r="D479" s="1"/>
      <c r="E479" s="1"/>
      <c r="F479" s="1"/>
      <c r="G479" s="7">
        <f>COUNTIF(SheetTable02[Focal Document
Element],A479)</f>
        <v>10</v>
      </c>
      <c r="H479" s="7" t="str">
        <f>IF(A479=A478,"",_xlfn.TEXTJOIN(", ", TRUE, C479:INDEX(C:C, ROW(C479)+SheetTable02[[#This Row],[Column1]]-1)))</f>
        <v/>
      </c>
    </row>
    <row r="480" spans="1:8" ht="28.8">
      <c r="A480" s="1" t="s">
        <v>215</v>
      </c>
      <c r="B480" s="1" t="s">
        <v>217</v>
      </c>
      <c r="C480" s="1" t="s">
        <v>584</v>
      </c>
      <c r="D480" s="1"/>
      <c r="E480" s="1"/>
      <c r="F480" s="1"/>
      <c r="G480" s="7">
        <f>COUNTIF(SheetTable02[Focal Document
Element],A480)</f>
        <v>10</v>
      </c>
      <c r="H480" s="7" t="str">
        <f>IF(A480=A479,"",_xlfn.TEXTJOIN(", ", TRUE, C480:INDEX(C:C, ROW(C480)+SheetTable02[[#This Row],[Column1]]-1)))</f>
        <v/>
      </c>
    </row>
    <row r="481" spans="1:8" ht="28.8">
      <c r="A481" s="1" t="s">
        <v>215</v>
      </c>
      <c r="B481" s="1" t="s">
        <v>217</v>
      </c>
      <c r="C481" s="1" t="s">
        <v>583</v>
      </c>
      <c r="D481" s="1"/>
      <c r="E481" s="1"/>
      <c r="F481" s="1"/>
      <c r="G481" s="7">
        <f>COUNTIF(SheetTable02[Focal Document
Element],A481)</f>
        <v>10</v>
      </c>
      <c r="H481" s="7" t="str">
        <f>IF(A481=A480,"",_xlfn.TEXTJOIN(", ", TRUE, C481:INDEX(C:C, ROW(C481)+SheetTable02[[#This Row],[Column1]]-1)))</f>
        <v/>
      </c>
    </row>
    <row r="482" spans="1:8" ht="28.8">
      <c r="A482" s="1" t="s">
        <v>215</v>
      </c>
      <c r="B482" s="1" t="s">
        <v>217</v>
      </c>
      <c r="C482" s="1" t="s">
        <v>582</v>
      </c>
      <c r="D482" s="1"/>
      <c r="E482" s="1"/>
      <c r="F482" s="1"/>
      <c r="G482" s="7">
        <f>COUNTIF(SheetTable02[Focal Document
Element],A482)</f>
        <v>10</v>
      </c>
      <c r="H482" s="7" t="str">
        <f>IF(A482=A481,"",_xlfn.TEXTJOIN(", ", TRUE, C482:INDEX(C:C, ROW(C482)+SheetTable02[[#This Row],[Column1]]-1)))</f>
        <v/>
      </c>
    </row>
    <row r="483" spans="1:8" ht="28.8">
      <c r="A483" s="1" t="s">
        <v>215</v>
      </c>
      <c r="B483" s="1" t="s">
        <v>217</v>
      </c>
      <c r="C483" s="1" t="s">
        <v>581</v>
      </c>
      <c r="D483" s="1"/>
      <c r="E483" s="1"/>
      <c r="F483" s="1"/>
      <c r="G483" s="7">
        <f>COUNTIF(SheetTable02[Focal Document
Element],A483)</f>
        <v>10</v>
      </c>
      <c r="H483" s="7" t="str">
        <f>IF(A483=A482,"",_xlfn.TEXTJOIN(", ", TRUE, C483:INDEX(C:C, ROW(C483)+SheetTable02[[#This Row],[Column1]]-1)))</f>
        <v/>
      </c>
    </row>
    <row r="484" spans="1:8" ht="28.8">
      <c r="A484" s="1" t="s">
        <v>219</v>
      </c>
      <c r="B484" s="1" t="s">
        <v>220</v>
      </c>
      <c r="C484" s="1" t="s">
        <v>571</v>
      </c>
      <c r="D484" s="1"/>
      <c r="E484" s="1"/>
      <c r="F484" s="1"/>
      <c r="G484" s="7">
        <f>COUNTIF(SheetTable02[Focal Document
Element],A484)</f>
        <v>1</v>
      </c>
      <c r="H484" s="7" t="str">
        <f>IF(A484=A483,"",_xlfn.TEXTJOIN(", ", TRUE, C484:INDEX(C:C, ROW(C484)+SheetTable02[[#This Row],[Column1]]-1)))</f>
        <v>IA-13</v>
      </c>
    </row>
    <row r="485" spans="1:8" ht="72">
      <c r="A485" s="1" t="s">
        <v>222</v>
      </c>
      <c r="B485" s="1" t="s">
        <v>223</v>
      </c>
      <c r="C485" s="1" t="s">
        <v>580</v>
      </c>
      <c r="D485" s="1"/>
      <c r="E485" s="1"/>
      <c r="F485" s="1"/>
      <c r="G485" s="7">
        <f>COUNTIF(SheetTable02[Focal Document
Element],A485)</f>
        <v>12</v>
      </c>
      <c r="H485" s="7" t="str">
        <f>IF(A485=A484,"",_xlfn.TEXTJOIN(", ", TRUE, C485:INDEX(C:C, ROW(C485)+SheetTable02[[#This Row],[Column1]]-1)))</f>
        <v>AC-01, AC-02, AC-03, AC-05, AC-06, AC-10, AC-16, AC-17, AC-18, AC-19, AC-24, IA-13</v>
      </c>
    </row>
    <row r="486" spans="1:8" ht="72">
      <c r="A486" s="1" t="s">
        <v>222</v>
      </c>
      <c r="B486" s="1" t="s">
        <v>223</v>
      </c>
      <c r="C486" s="1" t="s">
        <v>480</v>
      </c>
      <c r="D486" s="1"/>
      <c r="E486" s="1"/>
      <c r="F486" s="1"/>
      <c r="G486" s="7">
        <f>COUNTIF(SheetTable02[Focal Document
Element],A486)</f>
        <v>12</v>
      </c>
      <c r="H486" s="7" t="str">
        <f>IF(A486=A485,"",_xlfn.TEXTJOIN(", ", TRUE, C486:INDEX(C:C, ROW(C486)+SheetTable02[[#This Row],[Column1]]-1)))</f>
        <v/>
      </c>
    </row>
    <row r="487" spans="1:8" ht="72">
      <c r="A487" s="1" t="s">
        <v>222</v>
      </c>
      <c r="B487" s="1" t="s">
        <v>223</v>
      </c>
      <c r="C487" s="1" t="s">
        <v>512</v>
      </c>
      <c r="D487" s="1"/>
      <c r="E487" s="1"/>
      <c r="F487" s="1"/>
      <c r="G487" s="7">
        <f>COUNTIF(SheetTable02[Focal Document
Element],A487)</f>
        <v>12</v>
      </c>
      <c r="H487" s="7" t="str">
        <f>IF(A487=A486,"",_xlfn.TEXTJOIN(", ", TRUE, C487:INDEX(C:C, ROW(C487)+SheetTable02[[#This Row],[Column1]]-1)))</f>
        <v/>
      </c>
    </row>
    <row r="488" spans="1:8" ht="72">
      <c r="A488" s="1" t="s">
        <v>222</v>
      </c>
      <c r="B488" s="1" t="s">
        <v>223</v>
      </c>
      <c r="C488" s="1" t="s">
        <v>579</v>
      </c>
      <c r="D488" s="1"/>
      <c r="E488" s="1"/>
      <c r="F488" s="1"/>
      <c r="G488" s="7">
        <f>COUNTIF(SheetTable02[Focal Document
Element],A488)</f>
        <v>12</v>
      </c>
      <c r="H488" s="7" t="str">
        <f>IF(A488=A487,"",_xlfn.TEXTJOIN(", ", TRUE, C488:INDEX(C:C, ROW(C488)+SheetTable02[[#This Row],[Column1]]-1)))</f>
        <v/>
      </c>
    </row>
    <row r="489" spans="1:8" ht="72">
      <c r="A489" s="1" t="s">
        <v>222</v>
      </c>
      <c r="B489" s="1" t="s">
        <v>223</v>
      </c>
      <c r="C489" s="1" t="s">
        <v>578</v>
      </c>
      <c r="D489" s="1"/>
      <c r="E489" s="1"/>
      <c r="F489" s="1"/>
      <c r="G489" s="7">
        <f>COUNTIF(SheetTable02[Focal Document
Element],A489)</f>
        <v>12</v>
      </c>
      <c r="H489" s="7" t="str">
        <f>IF(A489=A488,"",_xlfn.TEXTJOIN(", ", TRUE, C489:INDEX(C:C, ROW(C489)+SheetTable02[[#This Row],[Column1]]-1)))</f>
        <v/>
      </c>
    </row>
    <row r="490" spans="1:8" ht="72">
      <c r="A490" s="1" t="s">
        <v>222</v>
      </c>
      <c r="B490" s="1" t="s">
        <v>223</v>
      </c>
      <c r="C490" s="1" t="s">
        <v>577</v>
      </c>
      <c r="D490" s="1"/>
      <c r="E490" s="1"/>
      <c r="F490" s="1"/>
      <c r="G490" s="7">
        <f>COUNTIF(SheetTable02[Focal Document
Element],A490)</f>
        <v>12</v>
      </c>
      <c r="H490" s="7" t="str">
        <f>IF(A490=A489,"",_xlfn.TEXTJOIN(", ", TRUE, C490:INDEX(C:C, ROW(C490)+SheetTable02[[#This Row],[Column1]]-1)))</f>
        <v/>
      </c>
    </row>
    <row r="491" spans="1:8" ht="72">
      <c r="A491" s="1" t="s">
        <v>222</v>
      </c>
      <c r="B491" s="1" t="s">
        <v>223</v>
      </c>
      <c r="C491" s="1" t="s">
        <v>576</v>
      </c>
      <c r="D491" s="1"/>
      <c r="E491" s="1"/>
      <c r="F491" s="1"/>
      <c r="G491" s="7">
        <f>COUNTIF(SheetTable02[Focal Document
Element],A491)</f>
        <v>12</v>
      </c>
      <c r="H491" s="7" t="str">
        <f>IF(A491=A490,"",_xlfn.TEXTJOIN(", ", TRUE, C491:INDEX(C:C, ROW(C491)+SheetTable02[[#This Row],[Column1]]-1)))</f>
        <v/>
      </c>
    </row>
    <row r="492" spans="1:8" ht="72">
      <c r="A492" s="1" t="s">
        <v>222</v>
      </c>
      <c r="B492" s="1" t="s">
        <v>223</v>
      </c>
      <c r="C492" s="1" t="s">
        <v>575</v>
      </c>
      <c r="D492" s="1"/>
      <c r="E492" s="1"/>
      <c r="F492" s="1"/>
      <c r="G492" s="7">
        <f>COUNTIF(SheetTable02[Focal Document
Element],A492)</f>
        <v>12</v>
      </c>
      <c r="H492" s="7" t="str">
        <f>IF(A492=A491,"",_xlfn.TEXTJOIN(", ", TRUE, C492:INDEX(C:C, ROW(C492)+SheetTable02[[#This Row],[Column1]]-1)))</f>
        <v/>
      </c>
    </row>
    <row r="493" spans="1:8" ht="72">
      <c r="A493" s="1" t="s">
        <v>222</v>
      </c>
      <c r="B493" s="1" t="s">
        <v>223</v>
      </c>
      <c r="C493" s="1" t="s">
        <v>574</v>
      </c>
      <c r="D493" s="1"/>
      <c r="E493" s="1"/>
      <c r="F493" s="1"/>
      <c r="G493" s="7">
        <f>COUNTIF(SheetTable02[Focal Document
Element],A493)</f>
        <v>12</v>
      </c>
      <c r="H493" s="7" t="str">
        <f>IF(A493=A492,"",_xlfn.TEXTJOIN(", ", TRUE, C493:INDEX(C:C, ROW(C493)+SheetTable02[[#This Row],[Column1]]-1)))</f>
        <v/>
      </c>
    </row>
    <row r="494" spans="1:8" ht="72">
      <c r="A494" s="1" t="s">
        <v>222</v>
      </c>
      <c r="B494" s="1" t="s">
        <v>223</v>
      </c>
      <c r="C494" s="1" t="s">
        <v>573</v>
      </c>
      <c r="D494" s="1"/>
      <c r="E494" s="1"/>
      <c r="F494" s="1"/>
      <c r="G494" s="7">
        <f>COUNTIF(SheetTable02[Focal Document
Element],A494)</f>
        <v>12</v>
      </c>
      <c r="H494" s="7" t="str">
        <f>IF(A494=A493,"",_xlfn.TEXTJOIN(", ", TRUE, C494:INDEX(C:C, ROW(C494)+SheetTable02[[#This Row],[Column1]]-1)))</f>
        <v/>
      </c>
    </row>
    <row r="495" spans="1:8" ht="72">
      <c r="A495" s="1" t="s">
        <v>222</v>
      </c>
      <c r="B495" s="1" t="s">
        <v>223</v>
      </c>
      <c r="C495" s="1" t="s">
        <v>572</v>
      </c>
      <c r="D495" s="1"/>
      <c r="E495" s="1"/>
      <c r="F495" s="1"/>
      <c r="G495" s="7">
        <f>COUNTIF(SheetTable02[Focal Document
Element],A495)</f>
        <v>12</v>
      </c>
      <c r="H495" s="7" t="str">
        <f>IF(A495=A494,"",_xlfn.TEXTJOIN(", ", TRUE, C495:INDEX(C:C, ROW(C495)+SheetTable02[[#This Row],[Column1]]-1)))</f>
        <v/>
      </c>
    </row>
    <row r="496" spans="1:8" ht="72">
      <c r="A496" s="1" t="s">
        <v>222</v>
      </c>
      <c r="B496" s="1" t="s">
        <v>223</v>
      </c>
      <c r="C496" s="1" t="s">
        <v>571</v>
      </c>
      <c r="D496" s="1"/>
      <c r="E496" s="1"/>
      <c r="F496" s="1"/>
      <c r="G496" s="7">
        <f>COUNTIF(SheetTable02[Focal Document
Element],A496)</f>
        <v>12</v>
      </c>
      <c r="H496" s="7" t="str">
        <f>IF(A496=A495,"",_xlfn.TEXTJOIN(", ", TRUE, C496:INDEX(C:C, ROW(C496)+SheetTable02[[#This Row],[Column1]]-1)))</f>
        <v/>
      </c>
    </row>
    <row r="497" spans="1:8" ht="43.2">
      <c r="A497" s="1" t="s">
        <v>225</v>
      </c>
      <c r="B497" s="1" t="s">
        <v>227</v>
      </c>
      <c r="C497" s="1" t="s">
        <v>570</v>
      </c>
      <c r="D497" s="1"/>
      <c r="E497" s="1"/>
      <c r="F497" s="1"/>
      <c r="G497" s="7">
        <f>COUNTIF(SheetTable02[Focal Document
Element],A497)</f>
        <v>9</v>
      </c>
      <c r="H497" s="7" t="str">
        <f>IF(A497=A496,"",_xlfn.TEXTJOIN(", ", TRUE, C497:INDEX(C:C, ROW(C497)+SheetTable02[[#This Row],[Column1]]-1)))</f>
        <v>PE-02, PE-03, PE-04, PE-05, PE-06, PE-08, PE-18, PE-19, PE-20</v>
      </c>
    </row>
    <row r="498" spans="1:8" ht="43.2">
      <c r="A498" s="1" t="s">
        <v>225</v>
      </c>
      <c r="B498" s="1" t="s">
        <v>227</v>
      </c>
      <c r="C498" s="1" t="s">
        <v>483</v>
      </c>
      <c r="D498" s="1"/>
      <c r="E498" s="1"/>
      <c r="F498" s="1"/>
      <c r="G498" s="7">
        <f>COUNTIF(SheetTable02[Focal Document
Element],A498)</f>
        <v>9</v>
      </c>
      <c r="H498" s="7" t="str">
        <f>IF(A498=A497,"",_xlfn.TEXTJOIN(", ", TRUE, C498:INDEX(C:C, ROW(C498)+SheetTable02[[#This Row],[Column1]]-1)))</f>
        <v/>
      </c>
    </row>
    <row r="499" spans="1:8" ht="43.2">
      <c r="A499" s="1" t="s">
        <v>225</v>
      </c>
      <c r="B499" s="1" t="s">
        <v>227</v>
      </c>
      <c r="C499" s="1" t="s">
        <v>569</v>
      </c>
      <c r="D499" s="1"/>
      <c r="E499" s="1"/>
      <c r="F499" s="1"/>
      <c r="G499" s="7">
        <f>COUNTIF(SheetTable02[Focal Document
Element],A499)</f>
        <v>9</v>
      </c>
      <c r="H499" s="7" t="str">
        <f>IF(A499=A498,"",_xlfn.TEXTJOIN(", ", TRUE, C499:INDEX(C:C, ROW(C499)+SheetTable02[[#This Row],[Column1]]-1)))</f>
        <v/>
      </c>
    </row>
    <row r="500" spans="1:8" ht="43.2">
      <c r="A500" s="1" t="s">
        <v>225</v>
      </c>
      <c r="B500" s="1" t="s">
        <v>227</v>
      </c>
      <c r="C500" s="1" t="s">
        <v>568</v>
      </c>
      <c r="D500" s="1"/>
      <c r="E500" s="1"/>
      <c r="F500" s="1"/>
      <c r="G500" s="7">
        <f>COUNTIF(SheetTable02[Focal Document
Element],A500)</f>
        <v>9</v>
      </c>
      <c r="H500" s="7" t="str">
        <f>IF(A500=A499,"",_xlfn.TEXTJOIN(", ", TRUE, C500:INDEX(C:C, ROW(C500)+SheetTable02[[#This Row],[Column1]]-1)))</f>
        <v/>
      </c>
    </row>
    <row r="501" spans="1:8" ht="43.2">
      <c r="A501" s="1" t="s">
        <v>225</v>
      </c>
      <c r="B501" s="1" t="s">
        <v>227</v>
      </c>
      <c r="C501" s="1" t="s">
        <v>482</v>
      </c>
      <c r="D501" s="1"/>
      <c r="E501" s="1"/>
      <c r="F501" s="1"/>
      <c r="G501" s="7">
        <f>COUNTIF(SheetTable02[Focal Document
Element],A501)</f>
        <v>9</v>
      </c>
      <c r="H501" s="7" t="str">
        <f>IF(A501=A500,"",_xlfn.TEXTJOIN(", ", TRUE, C501:INDEX(C:C, ROW(C501)+SheetTable02[[#This Row],[Column1]]-1)))</f>
        <v/>
      </c>
    </row>
    <row r="502" spans="1:8" ht="43.2">
      <c r="A502" s="1" t="s">
        <v>225</v>
      </c>
      <c r="B502" s="1" t="s">
        <v>227</v>
      </c>
      <c r="C502" s="1" t="s">
        <v>567</v>
      </c>
      <c r="D502" s="1"/>
      <c r="E502" s="1"/>
      <c r="F502" s="1"/>
      <c r="G502" s="7">
        <f>COUNTIF(SheetTable02[Focal Document
Element],A502)</f>
        <v>9</v>
      </c>
      <c r="H502" s="7" t="str">
        <f>IF(A502=A501,"",_xlfn.TEXTJOIN(", ", TRUE, C502:INDEX(C:C, ROW(C502)+SheetTable02[[#This Row],[Column1]]-1)))</f>
        <v/>
      </c>
    </row>
    <row r="503" spans="1:8" ht="43.2">
      <c r="A503" s="1" t="s">
        <v>225</v>
      </c>
      <c r="B503" s="1" t="s">
        <v>227</v>
      </c>
      <c r="C503" s="1" t="s">
        <v>503</v>
      </c>
      <c r="D503" s="1"/>
      <c r="E503" s="1"/>
      <c r="F503" s="1"/>
      <c r="G503" s="7">
        <f>COUNTIF(SheetTable02[Focal Document
Element],A503)</f>
        <v>9</v>
      </c>
      <c r="H503" s="7" t="str">
        <f>IF(A503=A502,"",_xlfn.TEXTJOIN(", ", TRUE, C503:INDEX(C:C, ROW(C503)+SheetTable02[[#This Row],[Column1]]-1)))</f>
        <v/>
      </c>
    </row>
    <row r="504" spans="1:8" ht="43.2">
      <c r="A504" s="1" t="s">
        <v>225</v>
      </c>
      <c r="B504" s="1" t="s">
        <v>227</v>
      </c>
      <c r="C504" s="1" t="s">
        <v>566</v>
      </c>
      <c r="D504" s="1"/>
      <c r="E504" s="1"/>
      <c r="F504" s="1"/>
      <c r="G504" s="7">
        <f>COUNTIF(SheetTable02[Focal Document
Element],A504)</f>
        <v>9</v>
      </c>
      <c r="H504" s="7" t="str">
        <f>IF(A504=A503,"",_xlfn.TEXTJOIN(", ", TRUE, C504:INDEX(C:C, ROW(C504)+SheetTable02[[#This Row],[Column1]]-1)))</f>
        <v/>
      </c>
    </row>
    <row r="505" spans="1:8" ht="43.2">
      <c r="A505" s="1" t="s">
        <v>225</v>
      </c>
      <c r="B505" s="1" t="s">
        <v>227</v>
      </c>
      <c r="C505" s="1" t="s">
        <v>481</v>
      </c>
      <c r="D505" s="1"/>
      <c r="E505" s="1"/>
      <c r="F505" s="1"/>
      <c r="G505" s="7">
        <f>COUNTIF(SheetTable02[Focal Document
Element],A505)</f>
        <v>9</v>
      </c>
      <c r="H505" s="7" t="str">
        <f>IF(A505=A504,"",_xlfn.TEXTJOIN(", ", TRUE, C505:INDEX(C:C, ROW(C505)+SheetTable02[[#This Row],[Column1]]-1)))</f>
        <v/>
      </c>
    </row>
    <row r="506" spans="1:8" ht="57.6">
      <c r="A506" s="1" t="s">
        <v>565</v>
      </c>
      <c r="B506" s="1" t="s">
        <v>564</v>
      </c>
      <c r="C506" s="1"/>
      <c r="D506" s="1"/>
      <c r="E506" s="1"/>
      <c r="F506" s="1"/>
      <c r="G506" s="7">
        <f>COUNTIF(SheetTable02[Focal Document
Element],A506)</f>
        <v>1</v>
      </c>
      <c r="H506" s="7" t="str">
        <f>IF(A506=A505,"",_xlfn.TEXTJOIN(", ", TRUE, C506:INDEX(C:C, ROW(C506)+SheetTable02[[#This Row],[Column1]]-1)))</f>
        <v/>
      </c>
    </row>
    <row r="507" spans="1:8" ht="57.6">
      <c r="A507" s="1" t="s">
        <v>229</v>
      </c>
      <c r="B507" s="1" t="s">
        <v>231</v>
      </c>
      <c r="C507" s="1" t="s">
        <v>563</v>
      </c>
      <c r="D507" s="1"/>
      <c r="E507" s="1"/>
      <c r="F507" s="1"/>
      <c r="G507" s="7">
        <f>COUNTIF(SheetTable02[Focal Document
Element],A507)</f>
        <v>2</v>
      </c>
      <c r="H507" s="7" t="str">
        <f>IF(A507=A506,"",_xlfn.TEXTJOIN(", ", TRUE, C507:INDEX(C:C, ROW(C507)+SheetTable02[[#This Row],[Column1]]-1)))</f>
        <v>AT-02
, AT-03</v>
      </c>
    </row>
    <row r="508" spans="1:8" ht="57.6">
      <c r="A508" s="1" t="s">
        <v>229</v>
      </c>
      <c r="B508" s="1" t="s">
        <v>231</v>
      </c>
      <c r="C508" s="1" t="s">
        <v>562</v>
      </c>
      <c r="D508" s="1"/>
      <c r="E508" s="1"/>
      <c r="F508" s="1"/>
      <c r="G508" s="7">
        <f>COUNTIF(SheetTable02[Focal Document
Element],A508)</f>
        <v>2</v>
      </c>
      <c r="H508" s="7" t="str">
        <f>IF(A508=A507,"",_xlfn.TEXTJOIN(", ", TRUE, C508:INDEX(C:C, ROW(C508)+SheetTable02[[#This Row],[Column1]]-1)))</f>
        <v/>
      </c>
    </row>
    <row r="509" spans="1:8" ht="72">
      <c r="A509" s="1" t="s">
        <v>233</v>
      </c>
      <c r="B509" s="1" t="s">
        <v>235</v>
      </c>
      <c r="C509" s="1" t="s">
        <v>562</v>
      </c>
      <c r="D509" s="1"/>
      <c r="E509" s="1"/>
      <c r="F509" s="1"/>
      <c r="G509" s="7">
        <f>COUNTIF(SheetTable02[Focal Document
Element],A509)</f>
        <v>1</v>
      </c>
      <c r="H509" s="7" t="str">
        <f>IF(A509=A508,"",_xlfn.TEXTJOIN(", ", TRUE, C509:INDEX(C:C, ROW(C509)+SheetTable02[[#This Row],[Column1]]-1)))</f>
        <v>AT-03</v>
      </c>
    </row>
    <row r="510" spans="1:8" ht="57.6">
      <c r="A510" s="1" t="s">
        <v>561</v>
      </c>
      <c r="B510" s="1" t="s">
        <v>560</v>
      </c>
      <c r="C510" s="1"/>
      <c r="D510" s="1"/>
      <c r="E510" s="1"/>
      <c r="F510" s="1"/>
      <c r="G510" s="7">
        <f>COUNTIF(SheetTable02[Focal Document
Element],A510)</f>
        <v>1</v>
      </c>
      <c r="H510" s="7" t="str">
        <f>IF(A510=A509,"",_xlfn.TEXTJOIN(", ", TRUE, C510:INDEX(C:C, ROW(C510)+SheetTable02[[#This Row],[Column1]]-1)))</f>
        <v/>
      </c>
    </row>
    <row r="511" spans="1:8" ht="43.2">
      <c r="A511" s="1" t="s">
        <v>237</v>
      </c>
      <c r="B511" s="1" t="s">
        <v>239</v>
      </c>
      <c r="C511" s="1" t="s">
        <v>552</v>
      </c>
      <c r="D511" s="1"/>
      <c r="E511" s="1"/>
      <c r="F511" s="1"/>
      <c r="G511" s="7">
        <f>COUNTIF(SheetTable02[Focal Document
Element],A511)</f>
        <v>14</v>
      </c>
      <c r="H511" s="7" t="str">
        <f>IF(A511=A510,"",_xlfn.TEXTJOIN(", ", TRUE, C511:INDEX(C:C, ROW(C511)+SheetTable02[[#This Row],[Column1]]-1)))</f>
        <v>CA-03, CP-09, MP-08, SC-04, SC-07, SC-12, SC-13, SC-28, SC-32, SC-39, SC-43, SI-03, SI-04, SI-07</v>
      </c>
    </row>
    <row r="512" spans="1:8" ht="43.2">
      <c r="A512" s="1" t="s">
        <v>237</v>
      </c>
      <c r="B512" s="1" t="s">
        <v>239</v>
      </c>
      <c r="C512" s="1" t="s">
        <v>428</v>
      </c>
      <c r="D512" s="1"/>
      <c r="E512" s="1"/>
      <c r="F512" s="1"/>
      <c r="G512" s="7">
        <f>COUNTIF(SheetTable02[Focal Document
Element],A512)</f>
        <v>14</v>
      </c>
      <c r="H512" s="7" t="str">
        <f>IF(A512=A511,"",_xlfn.TEXTJOIN(", ", TRUE, C512:INDEX(C:C, ROW(C512)+SheetTable02[[#This Row],[Column1]]-1)))</f>
        <v/>
      </c>
    </row>
    <row r="513" spans="1:8" ht="43.2">
      <c r="A513" s="1" t="s">
        <v>237</v>
      </c>
      <c r="B513" s="1" t="s">
        <v>239</v>
      </c>
      <c r="C513" s="1" t="s">
        <v>559</v>
      </c>
      <c r="D513" s="1"/>
      <c r="E513" s="1"/>
      <c r="F513" s="1"/>
      <c r="G513" s="7">
        <f>COUNTIF(SheetTable02[Focal Document
Element],A513)</f>
        <v>14</v>
      </c>
      <c r="H513" s="7" t="str">
        <f>IF(A513=A512,"",_xlfn.TEXTJOIN(", ", TRUE, C513:INDEX(C:C, ROW(C513)+SheetTable02[[#This Row],[Column1]]-1)))</f>
        <v/>
      </c>
    </row>
    <row r="514" spans="1:8" ht="43.2">
      <c r="A514" s="1" t="s">
        <v>237</v>
      </c>
      <c r="B514" s="1" t="s">
        <v>239</v>
      </c>
      <c r="C514" s="1" t="s">
        <v>511</v>
      </c>
      <c r="D514" s="1"/>
      <c r="E514" s="1"/>
      <c r="F514" s="1"/>
      <c r="G514" s="7">
        <f>COUNTIF(SheetTable02[Focal Document
Element],A514)</f>
        <v>14</v>
      </c>
      <c r="H514" s="7" t="str">
        <f>IF(A514=A513,"",_xlfn.TEXTJOIN(", ", TRUE, C514:INDEX(C:C, ROW(C514)+SheetTable02[[#This Row],[Column1]]-1)))</f>
        <v/>
      </c>
    </row>
    <row r="515" spans="1:8" ht="43.2">
      <c r="A515" s="1" t="s">
        <v>237</v>
      </c>
      <c r="B515" s="1" t="s">
        <v>239</v>
      </c>
      <c r="C515" s="1" t="s">
        <v>484</v>
      </c>
      <c r="D515" s="1"/>
      <c r="E515" s="1"/>
      <c r="F515" s="1"/>
      <c r="G515" s="7">
        <f>COUNTIF(SheetTable02[Focal Document
Element],A515)</f>
        <v>14</v>
      </c>
      <c r="H515" s="7" t="str">
        <f>IF(A515=A514,"",_xlfn.TEXTJOIN(", ", TRUE, C515:INDEX(C:C, ROW(C515)+SheetTable02[[#This Row],[Column1]]-1)))</f>
        <v/>
      </c>
    </row>
    <row r="516" spans="1:8" ht="43.2">
      <c r="A516" s="1" t="s">
        <v>237</v>
      </c>
      <c r="B516" s="1" t="s">
        <v>239</v>
      </c>
      <c r="C516" s="1" t="s">
        <v>555</v>
      </c>
      <c r="D516" s="1"/>
      <c r="E516" s="1"/>
      <c r="F516" s="1"/>
      <c r="G516" s="7">
        <f>COUNTIF(SheetTable02[Focal Document
Element],A516)</f>
        <v>14</v>
      </c>
      <c r="H516" s="7" t="str">
        <f>IF(A516=A515,"",_xlfn.TEXTJOIN(", ", TRUE, C516:INDEX(C:C, ROW(C516)+SheetTable02[[#This Row],[Column1]]-1)))</f>
        <v/>
      </c>
    </row>
    <row r="517" spans="1:8" ht="43.2">
      <c r="A517" s="1" t="s">
        <v>237</v>
      </c>
      <c r="B517" s="1" t="s">
        <v>239</v>
      </c>
      <c r="C517" s="1" t="s">
        <v>550</v>
      </c>
      <c r="D517" s="1"/>
      <c r="E517" s="1"/>
      <c r="F517" s="1"/>
      <c r="G517" s="7">
        <f>COUNTIF(SheetTable02[Focal Document
Element],A517)</f>
        <v>14</v>
      </c>
      <c r="H517" s="7" t="str">
        <f>IF(A517=A516,"",_xlfn.TEXTJOIN(", ", TRUE, C517:INDEX(C:C, ROW(C517)+SheetTable02[[#This Row],[Column1]]-1)))</f>
        <v/>
      </c>
    </row>
    <row r="518" spans="1:8" ht="43.2">
      <c r="A518" s="1" t="s">
        <v>237</v>
      </c>
      <c r="B518" s="1" t="s">
        <v>239</v>
      </c>
      <c r="C518" s="1" t="s">
        <v>558</v>
      </c>
      <c r="D518" s="1"/>
      <c r="E518" s="1"/>
      <c r="F518" s="1"/>
      <c r="G518" s="7">
        <f>COUNTIF(SheetTable02[Focal Document
Element],A518)</f>
        <v>14</v>
      </c>
      <c r="H518" s="7" t="str">
        <f>IF(A518=A517,"",_xlfn.TEXTJOIN(", ", TRUE, C518:INDEX(C:C, ROW(C518)+SheetTable02[[#This Row],[Column1]]-1)))</f>
        <v/>
      </c>
    </row>
    <row r="519" spans="1:8" ht="43.2">
      <c r="A519" s="1" t="s">
        <v>237</v>
      </c>
      <c r="B519" s="1" t="s">
        <v>239</v>
      </c>
      <c r="C519" s="1" t="s">
        <v>549</v>
      </c>
      <c r="D519" s="1"/>
      <c r="E519" s="1"/>
      <c r="F519" s="1"/>
      <c r="G519" s="7">
        <f>COUNTIF(SheetTable02[Focal Document
Element],A519)</f>
        <v>14</v>
      </c>
      <c r="H519" s="7" t="str">
        <f>IF(A519=A518,"",_xlfn.TEXTJOIN(", ", TRUE, C519:INDEX(C:C, ROW(C519)+SheetTable02[[#This Row],[Column1]]-1)))</f>
        <v/>
      </c>
    </row>
    <row r="520" spans="1:8" ht="43.2">
      <c r="A520" s="1" t="s">
        <v>237</v>
      </c>
      <c r="B520" s="1" t="s">
        <v>239</v>
      </c>
      <c r="C520" s="1" t="s">
        <v>495</v>
      </c>
      <c r="D520" s="1"/>
      <c r="E520" s="1"/>
      <c r="F520" s="1"/>
      <c r="G520" s="7">
        <f>COUNTIF(SheetTable02[Focal Document
Element],A520)</f>
        <v>14</v>
      </c>
      <c r="H520" s="7" t="str">
        <f>IF(A520=A519,"",_xlfn.TEXTJOIN(", ", TRUE, C520:INDEX(C:C, ROW(C520)+SheetTable02[[#This Row],[Column1]]-1)))</f>
        <v/>
      </c>
    </row>
    <row r="521" spans="1:8" ht="43.2">
      <c r="A521" s="1" t="s">
        <v>237</v>
      </c>
      <c r="B521" s="1" t="s">
        <v>239</v>
      </c>
      <c r="C521" s="1" t="s">
        <v>547</v>
      </c>
      <c r="D521" s="1"/>
      <c r="E521" s="1"/>
      <c r="F521" s="1"/>
      <c r="G521" s="7">
        <f>COUNTIF(SheetTable02[Focal Document
Element],A521)</f>
        <v>14</v>
      </c>
      <c r="H521" s="7" t="str">
        <f>IF(A521=A520,"",_xlfn.TEXTJOIN(", ", TRUE, C521:INDEX(C:C, ROW(C521)+SheetTable02[[#This Row],[Column1]]-1)))</f>
        <v/>
      </c>
    </row>
    <row r="522" spans="1:8" ht="43.2">
      <c r="A522" s="1" t="s">
        <v>237</v>
      </c>
      <c r="B522" s="1" t="s">
        <v>239</v>
      </c>
      <c r="C522" s="1" t="s">
        <v>546</v>
      </c>
      <c r="D522" s="1"/>
      <c r="E522" s="1"/>
      <c r="F522" s="1"/>
      <c r="G522" s="7">
        <f>COUNTIF(SheetTable02[Focal Document
Element],A522)</f>
        <v>14</v>
      </c>
      <c r="H522" s="7" t="str">
        <f>IF(A522=A521,"",_xlfn.TEXTJOIN(", ", TRUE, C522:INDEX(C:C, ROW(C522)+SheetTable02[[#This Row],[Column1]]-1)))</f>
        <v/>
      </c>
    </row>
    <row r="523" spans="1:8" ht="43.2">
      <c r="A523" s="1" t="s">
        <v>237</v>
      </c>
      <c r="B523" s="1" t="s">
        <v>239</v>
      </c>
      <c r="C523" s="1" t="s">
        <v>461</v>
      </c>
      <c r="D523" s="1"/>
      <c r="E523" s="1"/>
      <c r="F523" s="1"/>
      <c r="G523" s="7">
        <f>COUNTIF(SheetTable02[Focal Document
Element],A523)</f>
        <v>14</v>
      </c>
      <c r="H523" s="7" t="str">
        <f>IF(A523=A522,"",_xlfn.TEXTJOIN(", ", TRUE, C523:INDEX(C:C, ROW(C523)+SheetTable02[[#This Row],[Column1]]-1)))</f>
        <v/>
      </c>
    </row>
    <row r="524" spans="1:8" ht="43.2">
      <c r="A524" s="1" t="s">
        <v>237</v>
      </c>
      <c r="B524" s="1" t="s">
        <v>239</v>
      </c>
      <c r="C524" s="1" t="s">
        <v>466</v>
      </c>
      <c r="D524" s="1"/>
      <c r="E524" s="1"/>
      <c r="F524" s="1"/>
      <c r="G524" s="7">
        <f>COUNTIF(SheetTable02[Focal Document
Element],A524)</f>
        <v>14</v>
      </c>
      <c r="H524" s="7" t="str">
        <f>IF(A524=A523,"",_xlfn.TEXTJOIN(", ", TRUE, C524:INDEX(C:C, ROW(C524)+SheetTable02[[#This Row],[Column1]]-1)))</f>
        <v/>
      </c>
    </row>
    <row r="525" spans="1:8" ht="43.2">
      <c r="A525" s="1" t="s">
        <v>241</v>
      </c>
      <c r="B525" s="1" t="s">
        <v>243</v>
      </c>
      <c r="C525" s="1" t="s">
        <v>557</v>
      </c>
      <c r="D525" s="1"/>
      <c r="E525" s="1"/>
      <c r="F525" s="1"/>
      <c r="G525" s="7">
        <f>COUNTIF(SheetTable02[Focal Document
Element],A525)</f>
        <v>14</v>
      </c>
      <c r="H525" s="7" t="str">
        <f>IF(A525=A524,"",_xlfn.TEXTJOIN(", ", TRUE, C525:INDEX(C:C, ROW(C525)+SheetTable02[[#This Row],[Column1]]-1)))</f>
        <v>AU-16, CA-03, SC-04, SC-07, SC-08, SC-11, SC-12, SC-13, SC-16, SC-40, SC-43, SI-03, SI-04, SI-07</v>
      </c>
    </row>
    <row r="526" spans="1:8" ht="43.2">
      <c r="A526" s="1" t="s">
        <v>241</v>
      </c>
      <c r="B526" s="1" t="s">
        <v>243</v>
      </c>
      <c r="C526" s="1" t="s">
        <v>552</v>
      </c>
      <c r="D526" s="1"/>
      <c r="E526" s="1"/>
      <c r="F526" s="1"/>
      <c r="G526" s="7">
        <f>COUNTIF(SheetTable02[Focal Document
Element],A526)</f>
        <v>14</v>
      </c>
      <c r="H526" s="7" t="str">
        <f>IF(A526=A525,"",_xlfn.TEXTJOIN(", ", TRUE, C526:INDEX(C:C, ROW(C526)+SheetTable02[[#This Row],[Column1]]-1)))</f>
        <v/>
      </c>
    </row>
    <row r="527" spans="1:8" ht="43.2">
      <c r="A527" s="1" t="s">
        <v>241</v>
      </c>
      <c r="B527" s="1" t="s">
        <v>243</v>
      </c>
      <c r="C527" s="1" t="s">
        <v>511</v>
      </c>
      <c r="D527" s="1"/>
      <c r="E527" s="1"/>
      <c r="F527" s="1"/>
      <c r="G527" s="7">
        <f>COUNTIF(SheetTable02[Focal Document
Element],A527)</f>
        <v>14</v>
      </c>
      <c r="H527" s="7" t="str">
        <f>IF(A527=A526,"",_xlfn.TEXTJOIN(", ", TRUE, C527:INDEX(C:C, ROW(C527)+SheetTable02[[#This Row],[Column1]]-1)))</f>
        <v/>
      </c>
    </row>
    <row r="528" spans="1:8" ht="43.2">
      <c r="A528" s="1" t="s">
        <v>241</v>
      </c>
      <c r="B528" s="1" t="s">
        <v>243</v>
      </c>
      <c r="C528" s="1" t="s">
        <v>484</v>
      </c>
      <c r="D528" s="1"/>
      <c r="E528" s="1"/>
      <c r="F528" s="1"/>
      <c r="G528" s="7">
        <f>COUNTIF(SheetTable02[Focal Document
Element],A528)</f>
        <v>14</v>
      </c>
      <c r="H528" s="7" t="str">
        <f>IF(A528=A527,"",_xlfn.TEXTJOIN(", ", TRUE, C528:INDEX(C:C, ROW(C528)+SheetTable02[[#This Row],[Column1]]-1)))</f>
        <v/>
      </c>
    </row>
    <row r="529" spans="1:8" ht="43.2">
      <c r="A529" s="1" t="s">
        <v>241</v>
      </c>
      <c r="B529" s="1" t="s">
        <v>243</v>
      </c>
      <c r="C529" s="1" t="s">
        <v>556</v>
      </c>
      <c r="D529" s="1"/>
      <c r="E529" s="1"/>
      <c r="F529" s="1"/>
      <c r="G529" s="7">
        <f>COUNTIF(SheetTable02[Focal Document
Element],A529)</f>
        <v>14</v>
      </c>
      <c r="H529" s="7" t="str">
        <f>IF(A529=A528,"",_xlfn.TEXTJOIN(", ", TRUE, C529:INDEX(C:C, ROW(C529)+SheetTable02[[#This Row],[Column1]]-1)))</f>
        <v/>
      </c>
    </row>
    <row r="530" spans="1:8" ht="43.2">
      <c r="A530" s="1" t="s">
        <v>241</v>
      </c>
      <c r="B530" s="1" t="s">
        <v>243</v>
      </c>
      <c r="C530" s="1" t="s">
        <v>551</v>
      </c>
      <c r="D530" s="1"/>
      <c r="E530" s="1"/>
      <c r="F530" s="1"/>
      <c r="G530" s="7">
        <f>COUNTIF(SheetTable02[Focal Document
Element],A530)</f>
        <v>14</v>
      </c>
      <c r="H530" s="7" t="str">
        <f>IF(A530=A529,"",_xlfn.TEXTJOIN(", ", TRUE, C530:INDEX(C:C, ROW(C530)+SheetTable02[[#This Row],[Column1]]-1)))</f>
        <v/>
      </c>
    </row>
    <row r="531" spans="1:8" ht="43.2">
      <c r="A531" s="1" t="s">
        <v>241</v>
      </c>
      <c r="B531" s="1" t="s">
        <v>243</v>
      </c>
      <c r="C531" s="1" t="s">
        <v>555</v>
      </c>
      <c r="D531" s="1"/>
      <c r="E531" s="1"/>
      <c r="F531" s="1"/>
      <c r="G531" s="7">
        <f>COUNTIF(SheetTable02[Focal Document
Element],A531)</f>
        <v>14</v>
      </c>
      <c r="H531" s="7" t="str">
        <f>IF(A531=A530,"",_xlfn.TEXTJOIN(", ", TRUE, C531:INDEX(C:C, ROW(C531)+SheetTable02[[#This Row],[Column1]]-1)))</f>
        <v/>
      </c>
    </row>
    <row r="532" spans="1:8" ht="43.2">
      <c r="A532" s="1" t="s">
        <v>241</v>
      </c>
      <c r="B532" s="1" t="s">
        <v>243</v>
      </c>
      <c r="C532" s="1" t="s">
        <v>550</v>
      </c>
      <c r="D532" s="1"/>
      <c r="E532" s="1"/>
      <c r="F532" s="1"/>
      <c r="G532" s="7">
        <f>COUNTIF(SheetTable02[Focal Document
Element],A532)</f>
        <v>14</v>
      </c>
      <c r="H532" s="7" t="str">
        <f>IF(A532=A531,"",_xlfn.TEXTJOIN(", ", TRUE, C532:INDEX(C:C, ROW(C532)+SheetTable02[[#This Row],[Column1]]-1)))</f>
        <v/>
      </c>
    </row>
    <row r="533" spans="1:8" ht="43.2">
      <c r="A533" s="1" t="s">
        <v>241</v>
      </c>
      <c r="B533" s="1" t="s">
        <v>243</v>
      </c>
      <c r="C533" s="1" t="s">
        <v>554</v>
      </c>
      <c r="D533" s="1"/>
      <c r="E533" s="1"/>
      <c r="F533" s="1"/>
      <c r="G533" s="7">
        <f>COUNTIF(SheetTable02[Focal Document
Element],A533)</f>
        <v>14</v>
      </c>
      <c r="H533" s="7" t="str">
        <f>IF(A533=A532,"",_xlfn.TEXTJOIN(", ", TRUE, C533:INDEX(C:C, ROW(C533)+SheetTable02[[#This Row],[Column1]]-1)))</f>
        <v/>
      </c>
    </row>
    <row r="534" spans="1:8" ht="43.2">
      <c r="A534" s="1" t="s">
        <v>241</v>
      </c>
      <c r="B534" s="1" t="s">
        <v>243</v>
      </c>
      <c r="C534" s="1" t="s">
        <v>548</v>
      </c>
      <c r="D534" s="1"/>
      <c r="E534" s="1"/>
      <c r="F534" s="1"/>
      <c r="G534" s="7">
        <f>COUNTIF(SheetTable02[Focal Document
Element],A534)</f>
        <v>14</v>
      </c>
      <c r="H534" s="7" t="str">
        <f>IF(A534=A533,"",_xlfn.TEXTJOIN(", ", TRUE, C534:INDEX(C:C, ROW(C534)+SheetTable02[[#This Row],[Column1]]-1)))</f>
        <v/>
      </c>
    </row>
    <row r="535" spans="1:8" ht="43.2">
      <c r="A535" s="1" t="s">
        <v>241</v>
      </c>
      <c r="B535" s="1" t="s">
        <v>243</v>
      </c>
      <c r="C535" s="1" t="s">
        <v>547</v>
      </c>
      <c r="D535" s="1"/>
      <c r="E535" s="1"/>
      <c r="F535" s="1"/>
      <c r="G535" s="7">
        <f>COUNTIF(SheetTable02[Focal Document
Element],A535)</f>
        <v>14</v>
      </c>
      <c r="H535" s="7" t="str">
        <f>IF(A535=A534,"",_xlfn.TEXTJOIN(", ", TRUE, C535:INDEX(C:C, ROW(C535)+SheetTable02[[#This Row],[Column1]]-1)))</f>
        <v/>
      </c>
    </row>
    <row r="536" spans="1:8" ht="43.2">
      <c r="A536" s="1" t="s">
        <v>241</v>
      </c>
      <c r="B536" s="1" t="s">
        <v>243</v>
      </c>
      <c r="C536" s="1" t="s">
        <v>546</v>
      </c>
      <c r="D536" s="1"/>
      <c r="E536" s="1"/>
      <c r="F536" s="1"/>
      <c r="G536" s="7">
        <f>COUNTIF(SheetTable02[Focal Document
Element],A536)</f>
        <v>14</v>
      </c>
      <c r="H536" s="7" t="str">
        <f>IF(A536=A535,"",_xlfn.TEXTJOIN(", ", TRUE, C536:INDEX(C:C, ROW(C536)+SheetTable02[[#This Row],[Column1]]-1)))</f>
        <v/>
      </c>
    </row>
    <row r="537" spans="1:8" ht="43.2">
      <c r="A537" s="1" t="s">
        <v>241</v>
      </c>
      <c r="B537" s="1" t="s">
        <v>243</v>
      </c>
      <c r="C537" s="1" t="s">
        <v>461</v>
      </c>
      <c r="D537" s="1"/>
      <c r="E537" s="1"/>
      <c r="F537" s="1"/>
      <c r="G537" s="7">
        <f>COUNTIF(SheetTable02[Focal Document
Element],A537)</f>
        <v>14</v>
      </c>
      <c r="H537" s="7" t="str">
        <f>IF(A537=A536,"",_xlfn.TEXTJOIN(", ", TRUE, C537:INDEX(C:C, ROW(C537)+SheetTable02[[#This Row],[Column1]]-1)))</f>
        <v/>
      </c>
    </row>
    <row r="538" spans="1:8" ht="43.2">
      <c r="A538" s="1" t="s">
        <v>241</v>
      </c>
      <c r="B538" s="1" t="s">
        <v>243</v>
      </c>
      <c r="C538" s="1" t="s">
        <v>466</v>
      </c>
      <c r="D538" s="1"/>
      <c r="E538" s="1"/>
      <c r="F538" s="1"/>
      <c r="G538" s="7">
        <f>COUNTIF(SheetTable02[Focal Document
Element],A538)</f>
        <v>14</v>
      </c>
      <c r="H538" s="7" t="str">
        <f>IF(A538=A537,"",_xlfn.TEXTJOIN(", ", TRUE, C538:INDEX(C:C, ROW(C538)+SheetTable02[[#This Row],[Column1]]-1)))</f>
        <v/>
      </c>
    </row>
    <row r="539" spans="1:8" ht="28.8">
      <c r="A539" s="1" t="s">
        <v>245</v>
      </c>
      <c r="B539" s="1" t="s">
        <v>247</v>
      </c>
      <c r="C539" s="1" t="s">
        <v>480</v>
      </c>
      <c r="D539" s="1"/>
      <c r="E539" s="1"/>
      <c r="F539" s="1"/>
      <c r="G539" s="7">
        <f>COUNTIF(SheetTable02[Focal Document
Element],A539)</f>
        <v>22</v>
      </c>
      <c r="H539" s="7" t="str">
        <f>IF(A539=A538,"",_xlfn.TEXTJOIN(", ", TRUE, C539:INDEX(C:C, ROW(C539)+SheetTable02[[#This Row],[Column1]]-1)))</f>
        <v>AC-02, AC-03, AC-04, AU-09, AU-13, CA-03, CP-09, SA-08, SC-04, SC-07, SC-11, SC-13, SC-24, SC-32, SC-39, SC-40, SC-43, SI-03, SI-04, SI-07, SI-10, SI-16</v>
      </c>
    </row>
    <row r="540" spans="1:8" ht="28.8">
      <c r="A540" s="1" t="s">
        <v>245</v>
      </c>
      <c r="B540" s="1" t="s">
        <v>247</v>
      </c>
      <c r="C540" s="1" t="s">
        <v>512</v>
      </c>
      <c r="D540" s="1"/>
      <c r="E540" s="1"/>
      <c r="F540" s="1"/>
      <c r="G540" s="7">
        <f>COUNTIF(SheetTable02[Focal Document
Element],A540)</f>
        <v>22</v>
      </c>
      <c r="H540" s="7" t="str">
        <f>IF(A540=A539,"",_xlfn.TEXTJOIN(", ", TRUE, C540:INDEX(C:C, ROW(C540)+SheetTable02[[#This Row],[Column1]]-1)))</f>
        <v/>
      </c>
    </row>
    <row r="541" spans="1:8" ht="28.8">
      <c r="A541" s="1" t="s">
        <v>245</v>
      </c>
      <c r="B541" s="1" t="s">
        <v>247</v>
      </c>
      <c r="C541" s="1" t="s">
        <v>475</v>
      </c>
      <c r="D541" s="1"/>
      <c r="E541" s="1"/>
      <c r="F541" s="1"/>
      <c r="G541" s="7">
        <f>COUNTIF(SheetTable02[Focal Document
Element],A541)</f>
        <v>22</v>
      </c>
      <c r="H541" s="7" t="str">
        <f>IF(A541=A540,"",_xlfn.TEXTJOIN(", ", TRUE, C541:INDEX(C:C, ROW(C541)+SheetTable02[[#This Row],[Column1]]-1)))</f>
        <v/>
      </c>
    </row>
    <row r="542" spans="1:8" ht="28.8">
      <c r="A542" s="1" t="s">
        <v>245</v>
      </c>
      <c r="B542" s="1" t="s">
        <v>247</v>
      </c>
      <c r="C542" s="1" t="s">
        <v>553</v>
      </c>
      <c r="D542" s="1"/>
      <c r="E542" s="1"/>
      <c r="F542" s="1"/>
      <c r="G542" s="7">
        <f>COUNTIF(SheetTable02[Focal Document
Element],A542)</f>
        <v>22</v>
      </c>
      <c r="H542" s="7" t="str">
        <f>IF(A542=A541,"",_xlfn.TEXTJOIN(", ", TRUE, C542:INDEX(C:C, ROW(C542)+SheetTable02[[#This Row],[Column1]]-1)))</f>
        <v/>
      </c>
    </row>
    <row r="543" spans="1:8" ht="28.8">
      <c r="A543" s="1" t="s">
        <v>245</v>
      </c>
      <c r="B543" s="1" t="s">
        <v>247</v>
      </c>
      <c r="C543" s="1" t="s">
        <v>479</v>
      </c>
      <c r="D543" s="1"/>
      <c r="E543" s="1"/>
      <c r="F543" s="1"/>
      <c r="G543" s="7">
        <f>COUNTIF(SheetTable02[Focal Document
Element],A543)</f>
        <v>22</v>
      </c>
      <c r="H543" s="7" t="str">
        <f>IF(A543=A542,"",_xlfn.TEXTJOIN(", ", TRUE, C543:INDEX(C:C, ROW(C543)+SheetTable02[[#This Row],[Column1]]-1)))</f>
        <v/>
      </c>
    </row>
    <row r="544" spans="1:8" ht="28.8">
      <c r="A544" s="1" t="s">
        <v>245</v>
      </c>
      <c r="B544" s="1" t="s">
        <v>247</v>
      </c>
      <c r="C544" s="1" t="s">
        <v>552</v>
      </c>
      <c r="D544" s="1"/>
      <c r="E544" s="1"/>
      <c r="F544" s="1"/>
      <c r="G544" s="7">
        <f>COUNTIF(SheetTable02[Focal Document
Element],A544)</f>
        <v>22</v>
      </c>
      <c r="H544" s="7" t="str">
        <f>IF(A544=A543,"",_xlfn.TEXTJOIN(", ", TRUE, C544:INDEX(C:C, ROW(C544)+SheetTable02[[#This Row],[Column1]]-1)))</f>
        <v/>
      </c>
    </row>
    <row r="545" spans="1:8" ht="28.8">
      <c r="A545" s="1" t="s">
        <v>245</v>
      </c>
      <c r="B545" s="1" t="s">
        <v>247</v>
      </c>
      <c r="C545" s="1" t="s">
        <v>428</v>
      </c>
      <c r="D545" s="1"/>
      <c r="E545" s="1"/>
      <c r="F545" s="1"/>
      <c r="G545" s="7">
        <f>COUNTIF(SheetTable02[Focal Document
Element],A545)</f>
        <v>22</v>
      </c>
      <c r="H545" s="7" t="str">
        <f>IF(A545=A544,"",_xlfn.TEXTJOIN(", ", TRUE, C545:INDEX(C:C, ROW(C545)+SheetTable02[[#This Row],[Column1]]-1)))</f>
        <v/>
      </c>
    </row>
    <row r="546" spans="1:8" ht="28.8">
      <c r="A546" s="1" t="s">
        <v>245</v>
      </c>
      <c r="B546" s="1" t="s">
        <v>247</v>
      </c>
      <c r="C546" s="1" t="s">
        <v>499</v>
      </c>
      <c r="D546" s="1"/>
      <c r="E546" s="1"/>
      <c r="F546" s="1"/>
      <c r="G546" s="7">
        <f>COUNTIF(SheetTable02[Focal Document
Element],A546)</f>
        <v>22</v>
      </c>
      <c r="H546" s="7" t="str">
        <f>IF(A546=A545,"",_xlfn.TEXTJOIN(", ", TRUE, C546:INDEX(C:C, ROW(C546)+SheetTable02[[#This Row],[Column1]]-1)))</f>
        <v/>
      </c>
    </row>
    <row r="547" spans="1:8" ht="28.8">
      <c r="A547" s="1" t="s">
        <v>245</v>
      </c>
      <c r="B547" s="1" t="s">
        <v>247</v>
      </c>
      <c r="C547" s="1" t="s">
        <v>511</v>
      </c>
      <c r="D547" s="1"/>
      <c r="E547" s="1"/>
      <c r="F547" s="1"/>
      <c r="G547" s="7">
        <f>COUNTIF(SheetTable02[Focal Document
Element],A547)</f>
        <v>22</v>
      </c>
      <c r="H547" s="7" t="str">
        <f>IF(A547=A546,"",_xlfn.TEXTJOIN(", ", TRUE, C547:INDEX(C:C, ROW(C547)+SheetTable02[[#This Row],[Column1]]-1)))</f>
        <v/>
      </c>
    </row>
    <row r="548" spans="1:8" ht="28.8">
      <c r="A548" s="1" t="s">
        <v>245</v>
      </c>
      <c r="B548" s="1" t="s">
        <v>247</v>
      </c>
      <c r="C548" s="1" t="s">
        <v>484</v>
      </c>
      <c r="D548" s="1"/>
      <c r="E548" s="1"/>
      <c r="F548" s="1"/>
      <c r="G548" s="7">
        <f>COUNTIF(SheetTable02[Focal Document
Element],A548)</f>
        <v>22</v>
      </c>
      <c r="H548" s="7" t="str">
        <f>IF(A548=A547,"",_xlfn.TEXTJOIN(", ", TRUE, C548:INDEX(C:C, ROW(C548)+SheetTable02[[#This Row],[Column1]]-1)))</f>
        <v/>
      </c>
    </row>
    <row r="549" spans="1:8" ht="28.8">
      <c r="A549" s="1" t="s">
        <v>245</v>
      </c>
      <c r="B549" s="1" t="s">
        <v>247</v>
      </c>
      <c r="C549" s="1" t="s">
        <v>551</v>
      </c>
      <c r="D549" s="1"/>
      <c r="E549" s="1"/>
      <c r="F549" s="1"/>
      <c r="G549" s="7">
        <f>COUNTIF(SheetTable02[Focal Document
Element],A549)</f>
        <v>22</v>
      </c>
      <c r="H549" s="7" t="str">
        <f>IF(A549=A548,"",_xlfn.TEXTJOIN(", ", TRUE, C549:INDEX(C:C, ROW(C549)+SheetTable02[[#This Row],[Column1]]-1)))</f>
        <v/>
      </c>
    </row>
    <row r="550" spans="1:8" ht="28.8">
      <c r="A550" s="1" t="s">
        <v>245</v>
      </c>
      <c r="B550" s="1" t="s">
        <v>247</v>
      </c>
      <c r="C550" s="1" t="s">
        <v>550</v>
      </c>
      <c r="D550" s="1"/>
      <c r="E550" s="1"/>
      <c r="F550" s="1"/>
      <c r="G550" s="7">
        <f>COUNTIF(SheetTable02[Focal Document
Element],A550)</f>
        <v>22</v>
      </c>
      <c r="H550" s="7" t="str">
        <f>IF(A550=A549,"",_xlfn.TEXTJOIN(", ", TRUE, C550:INDEX(C:C, ROW(C550)+SheetTable02[[#This Row],[Column1]]-1)))</f>
        <v/>
      </c>
    </row>
    <row r="551" spans="1:8" ht="28.8">
      <c r="A551" s="1" t="s">
        <v>245</v>
      </c>
      <c r="B551" s="1" t="s">
        <v>247</v>
      </c>
      <c r="C551" s="1" t="s">
        <v>497</v>
      </c>
      <c r="D551" s="1"/>
      <c r="E551" s="1"/>
      <c r="F551" s="1"/>
      <c r="G551" s="7">
        <f>COUNTIF(SheetTable02[Focal Document
Element],A551)</f>
        <v>22</v>
      </c>
      <c r="H551" s="7" t="str">
        <f>IF(A551=A550,"",_xlfn.TEXTJOIN(", ", TRUE, C551:INDEX(C:C, ROW(C551)+SheetTable02[[#This Row],[Column1]]-1)))</f>
        <v/>
      </c>
    </row>
    <row r="552" spans="1:8" ht="28.8">
      <c r="A552" s="1" t="s">
        <v>245</v>
      </c>
      <c r="B552" s="1" t="s">
        <v>247</v>
      </c>
      <c r="C552" s="1" t="s">
        <v>549</v>
      </c>
      <c r="D552" s="1"/>
      <c r="E552" s="1"/>
      <c r="F552" s="1"/>
      <c r="G552" s="7">
        <f>COUNTIF(SheetTable02[Focal Document
Element],A552)</f>
        <v>22</v>
      </c>
      <c r="H552" s="7" t="str">
        <f>IF(A552=A551,"",_xlfn.TEXTJOIN(", ", TRUE, C552:INDEX(C:C, ROW(C552)+SheetTable02[[#This Row],[Column1]]-1)))</f>
        <v/>
      </c>
    </row>
    <row r="553" spans="1:8" ht="28.8">
      <c r="A553" s="1" t="s">
        <v>245</v>
      </c>
      <c r="B553" s="1" t="s">
        <v>247</v>
      </c>
      <c r="C553" s="1" t="s">
        <v>495</v>
      </c>
      <c r="D553" s="1"/>
      <c r="E553" s="1"/>
      <c r="F553" s="1"/>
      <c r="G553" s="7">
        <f>COUNTIF(SheetTable02[Focal Document
Element],A553)</f>
        <v>22</v>
      </c>
      <c r="H553" s="7" t="str">
        <f>IF(A553=A552,"",_xlfn.TEXTJOIN(", ", TRUE, C553:INDEX(C:C, ROW(C553)+SheetTable02[[#This Row],[Column1]]-1)))</f>
        <v/>
      </c>
    </row>
    <row r="554" spans="1:8" ht="28.8">
      <c r="A554" s="1" t="s">
        <v>245</v>
      </c>
      <c r="B554" s="1" t="s">
        <v>247</v>
      </c>
      <c r="C554" s="1" t="s">
        <v>548</v>
      </c>
      <c r="D554" s="1"/>
      <c r="E554" s="1"/>
      <c r="F554" s="1"/>
      <c r="G554" s="7">
        <f>COUNTIF(SheetTable02[Focal Document
Element],A554)</f>
        <v>22</v>
      </c>
      <c r="H554" s="7" t="str">
        <f>IF(A554=A553,"",_xlfn.TEXTJOIN(", ", TRUE, C554:INDEX(C:C, ROW(C554)+SheetTable02[[#This Row],[Column1]]-1)))</f>
        <v/>
      </c>
    </row>
    <row r="555" spans="1:8" ht="28.8">
      <c r="A555" s="1" t="s">
        <v>245</v>
      </c>
      <c r="B555" s="1" t="s">
        <v>247</v>
      </c>
      <c r="C555" s="1" t="s">
        <v>547</v>
      </c>
      <c r="D555" s="1"/>
      <c r="E555" s="1"/>
      <c r="F555" s="1"/>
      <c r="G555" s="7">
        <f>COUNTIF(SheetTable02[Focal Document
Element],A555)</f>
        <v>22</v>
      </c>
      <c r="H555" s="7" t="str">
        <f>IF(A555=A554,"",_xlfn.TEXTJOIN(", ", TRUE, C555:INDEX(C:C, ROW(C555)+SheetTable02[[#This Row],[Column1]]-1)))</f>
        <v/>
      </c>
    </row>
    <row r="556" spans="1:8" ht="28.8">
      <c r="A556" s="1" t="s">
        <v>245</v>
      </c>
      <c r="B556" s="1" t="s">
        <v>247</v>
      </c>
      <c r="C556" s="1" t="s">
        <v>546</v>
      </c>
      <c r="D556" s="1"/>
      <c r="E556" s="1"/>
      <c r="F556" s="1"/>
      <c r="G556" s="7">
        <f>COUNTIF(SheetTable02[Focal Document
Element],A556)</f>
        <v>22</v>
      </c>
      <c r="H556" s="7" t="str">
        <f>IF(A556=A555,"",_xlfn.TEXTJOIN(", ", TRUE, C556:INDEX(C:C, ROW(C556)+SheetTable02[[#This Row],[Column1]]-1)))</f>
        <v/>
      </c>
    </row>
    <row r="557" spans="1:8" ht="28.8">
      <c r="A557" s="1" t="s">
        <v>245</v>
      </c>
      <c r="B557" s="1" t="s">
        <v>247</v>
      </c>
      <c r="C557" s="1" t="s">
        <v>461</v>
      </c>
      <c r="D557" s="1"/>
      <c r="E557" s="1"/>
      <c r="F557" s="1"/>
      <c r="G557" s="7">
        <f>COUNTIF(SheetTable02[Focal Document
Element],A557)</f>
        <v>22</v>
      </c>
      <c r="H557" s="7" t="str">
        <f>IF(A557=A556,"",_xlfn.TEXTJOIN(", ", TRUE, C557:INDEX(C:C, ROW(C557)+SheetTable02[[#This Row],[Column1]]-1)))</f>
        <v/>
      </c>
    </row>
    <row r="558" spans="1:8" ht="28.8">
      <c r="A558" s="1" t="s">
        <v>245</v>
      </c>
      <c r="B558" s="1" t="s">
        <v>247</v>
      </c>
      <c r="C558" s="1" t="s">
        <v>466</v>
      </c>
      <c r="D558" s="1"/>
      <c r="E558" s="1"/>
      <c r="F558" s="1"/>
      <c r="G558" s="7">
        <f>COUNTIF(SheetTable02[Focal Document
Element],A558)</f>
        <v>22</v>
      </c>
      <c r="H558" s="7" t="str">
        <f>IF(A558=A557,"",_xlfn.TEXTJOIN(", ", TRUE, C558:INDEX(C:C, ROW(C558)+SheetTable02[[#This Row],[Column1]]-1)))</f>
        <v/>
      </c>
    </row>
    <row r="559" spans="1:8" ht="28.8">
      <c r="A559" s="1" t="s">
        <v>245</v>
      </c>
      <c r="B559" s="1" t="s">
        <v>247</v>
      </c>
      <c r="C559" s="1" t="s">
        <v>545</v>
      </c>
      <c r="D559" s="1"/>
      <c r="E559" s="1"/>
      <c r="F559" s="1"/>
      <c r="G559" s="7">
        <f>COUNTIF(SheetTable02[Focal Document
Element],A559)</f>
        <v>22</v>
      </c>
      <c r="H559" s="7" t="str">
        <f>IF(A559=A558,"",_xlfn.TEXTJOIN(", ", TRUE, C559:INDEX(C:C, ROW(C559)+SheetTable02[[#This Row],[Column1]]-1)))</f>
        <v/>
      </c>
    </row>
    <row r="560" spans="1:8" ht="28.8">
      <c r="A560" s="1" t="s">
        <v>245</v>
      </c>
      <c r="B560" s="1" t="s">
        <v>247</v>
      </c>
      <c r="C560" s="1" t="s">
        <v>544</v>
      </c>
      <c r="D560" s="1"/>
      <c r="E560" s="1"/>
      <c r="F560" s="1"/>
      <c r="G560" s="7">
        <f>COUNTIF(SheetTable02[Focal Document
Element],A560)</f>
        <v>22</v>
      </c>
      <c r="H560" s="7" t="str">
        <f>IF(A560=A559,"",_xlfn.TEXTJOIN(", ", TRUE, C560:INDEX(C:C, ROW(C560)+SheetTable02[[#This Row],[Column1]]-1)))</f>
        <v/>
      </c>
    </row>
    <row r="561" spans="1:8" ht="28.8">
      <c r="A561" s="1" t="s">
        <v>249</v>
      </c>
      <c r="B561" s="1" t="s">
        <v>251</v>
      </c>
      <c r="C561" s="1" t="s">
        <v>493</v>
      </c>
      <c r="D561" s="1"/>
      <c r="E561" s="1"/>
      <c r="F561" s="1"/>
      <c r="G561" s="7">
        <f>COUNTIF(SheetTable02[Focal Document
Element],A561)</f>
        <v>2</v>
      </c>
      <c r="H561" s="7" t="str">
        <f>IF(A561=A560,"",_xlfn.TEXTJOIN(", ", TRUE, C561:INDEX(C:C, ROW(C561)+SheetTable02[[#This Row],[Column1]]-1)))</f>
        <v>CP-06
, CP-09</v>
      </c>
    </row>
    <row r="562" spans="1:8" ht="28.8">
      <c r="A562" s="1" t="s">
        <v>249</v>
      </c>
      <c r="B562" s="1" t="s">
        <v>251</v>
      </c>
      <c r="C562" s="1" t="s">
        <v>428</v>
      </c>
      <c r="D562" s="1"/>
      <c r="E562" s="1"/>
      <c r="F562" s="1"/>
      <c r="G562" s="7">
        <f>COUNTIF(SheetTable02[Focal Document
Element],A562)</f>
        <v>2</v>
      </c>
      <c r="H562" s="7" t="str">
        <f>IF(A562=A561,"",_xlfn.TEXTJOIN(", ", TRUE, C562:INDEX(C:C, ROW(C562)+SheetTable02[[#This Row],[Column1]]-1)))</f>
        <v/>
      </c>
    </row>
    <row r="563" spans="1:8" ht="100.8">
      <c r="A563" s="1" t="s">
        <v>543</v>
      </c>
      <c r="B563" s="1" t="s">
        <v>542</v>
      </c>
      <c r="C563" s="1"/>
      <c r="D563" s="1"/>
      <c r="E563" s="1"/>
      <c r="F563" s="1"/>
      <c r="G563" s="7">
        <f>COUNTIF(SheetTable02[Focal Document
Element],A563)</f>
        <v>1</v>
      </c>
      <c r="H563" s="7" t="str">
        <f>IF(A563=A562,"",_xlfn.TEXTJOIN(", ", TRUE, C563:INDEX(C:C, ROW(C563)+SheetTable02[[#This Row],[Column1]]-1)))</f>
        <v/>
      </c>
    </row>
    <row r="564" spans="1:8" ht="28.8">
      <c r="A564" s="1" t="s">
        <v>253</v>
      </c>
      <c r="B564" s="1" t="s">
        <v>255</v>
      </c>
      <c r="C564" s="1" t="s">
        <v>541</v>
      </c>
      <c r="D564" s="1"/>
      <c r="E564" s="1"/>
      <c r="F564" s="1"/>
      <c r="G564" s="7">
        <f>COUNTIF(SheetTable02[Focal Document
Element],A564)</f>
        <v>11</v>
      </c>
      <c r="H564" s="7" t="str">
        <f>IF(A564=A563,"",_xlfn.TEXTJOIN(", ", TRUE, C564:INDEX(C:C, ROW(C564)+SheetTable02[[#This Row],[Column1]]-1)))</f>
        <v>CM-01, CM-02, CM-03, CM-04, CM-05, CM-06, CM-07, CM-08, CM-09, CM-10, CM-11</v>
      </c>
    </row>
    <row r="565" spans="1:8" ht="28.8">
      <c r="A565" s="1" t="s">
        <v>253</v>
      </c>
      <c r="B565" s="1" t="s">
        <v>255</v>
      </c>
      <c r="C565" s="1" t="s">
        <v>540</v>
      </c>
      <c r="D565" s="1"/>
      <c r="E565" s="1"/>
      <c r="F565" s="1"/>
      <c r="G565" s="7">
        <f>COUNTIF(SheetTable02[Focal Document
Element],A565)</f>
        <v>11</v>
      </c>
      <c r="H565" s="7" t="str">
        <f>IF(A565=A564,"",_xlfn.TEXTJOIN(", ", TRUE, C565:INDEX(C:C, ROW(C565)+SheetTable02[[#This Row],[Column1]]-1)))</f>
        <v/>
      </c>
    </row>
    <row r="566" spans="1:8" ht="28.8">
      <c r="A566" s="1" t="s">
        <v>253</v>
      </c>
      <c r="B566" s="1" t="s">
        <v>255</v>
      </c>
      <c r="C566" s="1" t="s">
        <v>472</v>
      </c>
      <c r="D566" s="1"/>
      <c r="E566" s="1"/>
      <c r="F566" s="1"/>
      <c r="G566" s="7">
        <f>COUNTIF(SheetTable02[Focal Document
Element],A566)</f>
        <v>11</v>
      </c>
      <c r="H566" s="7" t="str">
        <f>IF(A566=A565,"",_xlfn.TEXTJOIN(", ", TRUE, C566:INDEX(C:C, ROW(C566)+SheetTable02[[#This Row],[Column1]]-1)))</f>
        <v/>
      </c>
    </row>
    <row r="567" spans="1:8" ht="28.8">
      <c r="A567" s="1" t="s">
        <v>253</v>
      </c>
      <c r="B567" s="1" t="s">
        <v>255</v>
      </c>
      <c r="C567" s="1" t="s">
        <v>539</v>
      </c>
      <c r="D567" s="1"/>
      <c r="E567" s="1"/>
      <c r="F567" s="1"/>
      <c r="G567" s="7">
        <f>COUNTIF(SheetTable02[Focal Document
Element],A567)</f>
        <v>11</v>
      </c>
      <c r="H567" s="7" t="str">
        <f>IF(A567=A566,"",_xlfn.TEXTJOIN(", ", TRUE, C567:INDEX(C:C, ROW(C567)+SheetTable02[[#This Row],[Column1]]-1)))</f>
        <v/>
      </c>
    </row>
    <row r="568" spans="1:8" ht="28.8">
      <c r="A568" s="1" t="s">
        <v>253</v>
      </c>
      <c r="B568" s="1" t="s">
        <v>255</v>
      </c>
      <c r="C568" s="1" t="s">
        <v>538</v>
      </c>
      <c r="D568" s="1"/>
      <c r="E568" s="1"/>
      <c r="F568" s="1"/>
      <c r="G568" s="7">
        <f>COUNTIF(SheetTable02[Focal Document
Element],A568)</f>
        <v>11</v>
      </c>
      <c r="H568" s="7" t="str">
        <f>IF(A568=A567,"",_xlfn.TEXTJOIN(", ", TRUE, C568:INDEX(C:C, ROW(C568)+SheetTable02[[#This Row],[Column1]]-1)))</f>
        <v/>
      </c>
    </row>
    <row r="569" spans="1:8" ht="28.8">
      <c r="A569" s="1" t="s">
        <v>253</v>
      </c>
      <c r="B569" s="1" t="s">
        <v>255</v>
      </c>
      <c r="C569" s="1" t="s">
        <v>471</v>
      </c>
      <c r="D569" s="1"/>
      <c r="E569" s="1"/>
      <c r="F569" s="1"/>
      <c r="G569" s="7">
        <f>COUNTIF(SheetTable02[Focal Document
Element],A569)</f>
        <v>11</v>
      </c>
      <c r="H569" s="7" t="str">
        <f>IF(A569=A568,"",_xlfn.TEXTJOIN(", ", TRUE, C569:INDEX(C:C, ROW(C569)+SheetTable02[[#This Row],[Column1]]-1)))</f>
        <v/>
      </c>
    </row>
    <row r="570" spans="1:8" ht="28.8">
      <c r="A570" s="1" t="s">
        <v>253</v>
      </c>
      <c r="B570" s="1" t="s">
        <v>255</v>
      </c>
      <c r="C570" s="1" t="s">
        <v>537</v>
      </c>
      <c r="D570" s="1"/>
      <c r="E570" s="1"/>
      <c r="F570" s="1"/>
      <c r="G570" s="7">
        <f>COUNTIF(SheetTable02[Focal Document
Element],A570)</f>
        <v>11</v>
      </c>
      <c r="H570" s="7" t="str">
        <f>IF(A570=A569,"",_xlfn.TEXTJOIN(", ", TRUE, C570:INDEX(C:C, ROW(C570)+SheetTable02[[#This Row],[Column1]]-1)))</f>
        <v/>
      </c>
    </row>
    <row r="571" spans="1:8" ht="28.8">
      <c r="A571" s="1" t="s">
        <v>253</v>
      </c>
      <c r="B571" s="1" t="s">
        <v>255</v>
      </c>
      <c r="C571" s="1" t="s">
        <v>536</v>
      </c>
      <c r="D571" s="1"/>
      <c r="E571" s="1"/>
      <c r="F571" s="1"/>
      <c r="G571" s="7">
        <f>COUNTIF(SheetTable02[Focal Document
Element],A571)</f>
        <v>11</v>
      </c>
      <c r="H571" s="7" t="str">
        <f>IF(A571=A570,"",_xlfn.TEXTJOIN(", ", TRUE, C571:INDEX(C:C, ROW(C571)+SheetTable02[[#This Row],[Column1]]-1)))</f>
        <v/>
      </c>
    </row>
    <row r="572" spans="1:8" ht="28.8">
      <c r="A572" s="1" t="s">
        <v>253</v>
      </c>
      <c r="B572" s="1" t="s">
        <v>255</v>
      </c>
      <c r="C572" s="1" t="s">
        <v>535</v>
      </c>
      <c r="D572" s="1"/>
      <c r="E572" s="1"/>
      <c r="F572" s="1"/>
      <c r="G572" s="7">
        <f>COUNTIF(SheetTable02[Focal Document
Element],A572)</f>
        <v>11</v>
      </c>
      <c r="H572" s="7" t="str">
        <f>IF(A572=A571,"",_xlfn.TEXTJOIN(", ", TRUE, C572:INDEX(C:C, ROW(C572)+SheetTable02[[#This Row],[Column1]]-1)))</f>
        <v/>
      </c>
    </row>
    <row r="573" spans="1:8" ht="28.8">
      <c r="A573" s="1" t="s">
        <v>253</v>
      </c>
      <c r="B573" s="1" t="s">
        <v>255</v>
      </c>
      <c r="C573" s="1" t="s">
        <v>470</v>
      </c>
      <c r="D573" s="1"/>
      <c r="E573" s="1"/>
      <c r="F573" s="1"/>
      <c r="G573" s="7">
        <f>COUNTIF(SheetTable02[Focal Document
Element],A573)</f>
        <v>11</v>
      </c>
      <c r="H573" s="7" t="str">
        <f>IF(A573=A572,"",_xlfn.TEXTJOIN(", ", TRUE, C573:INDEX(C:C, ROW(C573)+SheetTable02[[#This Row],[Column1]]-1)))</f>
        <v/>
      </c>
    </row>
    <row r="574" spans="1:8" ht="28.8">
      <c r="A574" s="1" t="s">
        <v>253</v>
      </c>
      <c r="B574" s="1" t="s">
        <v>255</v>
      </c>
      <c r="C574" s="1" t="s">
        <v>469</v>
      </c>
      <c r="D574" s="1"/>
      <c r="E574" s="1"/>
      <c r="F574" s="1"/>
      <c r="G574" s="7">
        <f>COUNTIF(SheetTable02[Focal Document
Element],A574)</f>
        <v>11</v>
      </c>
      <c r="H574" s="7" t="str">
        <f>IF(A574=A573,"",_xlfn.TEXTJOIN(", ", TRUE, C574:INDEX(C:C, ROW(C574)+SheetTable02[[#This Row],[Column1]]-1)))</f>
        <v/>
      </c>
    </row>
    <row r="575" spans="1:8" ht="28.8">
      <c r="A575" s="1" t="s">
        <v>257</v>
      </c>
      <c r="B575" s="1" t="s">
        <v>259</v>
      </c>
      <c r="C575" s="1" t="s">
        <v>469</v>
      </c>
      <c r="D575" s="1"/>
      <c r="E575" s="1"/>
      <c r="F575" s="1"/>
      <c r="G575" s="7">
        <f>COUNTIF(SheetTable02[Focal Document
Element],A575)</f>
        <v>5</v>
      </c>
      <c r="H575" s="7" t="str">
        <f>IF(A575=A574,"",_xlfn.TEXTJOIN(", ", TRUE, C575:INDEX(C:C, ROW(C575)+SheetTable02[[#This Row],[Column1]]-1)))</f>
        <v>CM-11, MA-03(06), SA-10(01), SI-02, SI-07</v>
      </c>
    </row>
    <row r="576" spans="1:8" ht="28.8">
      <c r="A576" s="1" t="s">
        <v>257</v>
      </c>
      <c r="B576" s="1" t="s">
        <v>259</v>
      </c>
      <c r="C576" s="1" t="s">
        <v>534</v>
      </c>
      <c r="D576" s="1"/>
      <c r="E576" s="1"/>
      <c r="F576" s="1"/>
      <c r="G576" s="7">
        <f>COUNTIF(SheetTable02[Focal Document
Element],A576)</f>
        <v>5</v>
      </c>
      <c r="H576" s="7" t="str">
        <f>IF(A576=A575,"",_xlfn.TEXTJOIN(", ", TRUE, C576:INDEX(C:C, ROW(C576)+SheetTable02[[#This Row],[Column1]]-1)))</f>
        <v/>
      </c>
    </row>
    <row r="577" spans="1:8" ht="28.8">
      <c r="A577" s="1" t="s">
        <v>257</v>
      </c>
      <c r="B577" s="1" t="s">
        <v>259</v>
      </c>
      <c r="C577" s="1" t="s">
        <v>533</v>
      </c>
      <c r="D577" s="1"/>
      <c r="E577" s="1"/>
      <c r="F577" s="1"/>
      <c r="G577" s="7">
        <f>COUNTIF(SheetTable02[Focal Document
Element],A577)</f>
        <v>5</v>
      </c>
      <c r="H577" s="7" t="str">
        <f>IF(A577=A576,"",_xlfn.TEXTJOIN(", ", TRUE, C577:INDEX(C:C, ROW(C577)+SheetTable02[[#This Row],[Column1]]-1)))</f>
        <v/>
      </c>
    </row>
    <row r="578" spans="1:8" ht="28.8">
      <c r="A578" s="1" t="s">
        <v>257</v>
      </c>
      <c r="B578" s="1" t="s">
        <v>259</v>
      </c>
      <c r="C578" s="1" t="s">
        <v>532</v>
      </c>
      <c r="D578" s="1"/>
      <c r="E578" s="1"/>
      <c r="F578" s="1"/>
      <c r="G578" s="7">
        <f>COUNTIF(SheetTable02[Focal Document
Element],A578)</f>
        <v>5</v>
      </c>
      <c r="H578" s="7" t="str">
        <f>IF(A578=A577,"",_xlfn.TEXTJOIN(", ", TRUE, C578:INDEX(C:C, ROW(C578)+SheetTable02[[#This Row],[Column1]]-1)))</f>
        <v/>
      </c>
    </row>
    <row r="579" spans="1:8" ht="28.8">
      <c r="A579" s="1" t="s">
        <v>257</v>
      </c>
      <c r="B579" s="1" t="s">
        <v>259</v>
      </c>
      <c r="C579" s="1" t="s">
        <v>466</v>
      </c>
      <c r="D579" s="1"/>
      <c r="E579" s="1"/>
      <c r="F579" s="1"/>
      <c r="G579" s="7">
        <f>COUNTIF(SheetTable02[Focal Document
Element],A579)</f>
        <v>5</v>
      </c>
      <c r="H579" s="7" t="str">
        <f>IF(A579=A578,"",_xlfn.TEXTJOIN(", ", TRUE, C579:INDEX(C:C, ROW(C579)+SheetTable02[[#This Row],[Column1]]-1)))</f>
        <v/>
      </c>
    </row>
    <row r="580" spans="1:8" ht="28.8">
      <c r="A580" s="1" t="s">
        <v>261</v>
      </c>
      <c r="B580" s="1" t="s">
        <v>263</v>
      </c>
      <c r="C580" s="1" t="s">
        <v>531</v>
      </c>
      <c r="D580" s="1"/>
      <c r="E580" s="1"/>
      <c r="F580" s="1"/>
      <c r="G580" s="7">
        <f>COUNTIF(SheetTable02[Focal Document
Element],A580)</f>
        <v>6</v>
      </c>
      <c r="H580" s="7" t="str">
        <f>IF(A580=A579,"",_xlfn.TEXTJOIN(", ", TRUE, C580:INDEX(C:C, ROW(C580)+SheetTable02[[#This Row],[Column1]]-1)))</f>
        <v>CM-07(09), SA-10(03), SC-03(01), SC-39(01), SC-49, SC-51</v>
      </c>
    </row>
    <row r="581" spans="1:8" ht="28.8">
      <c r="A581" s="1" t="s">
        <v>261</v>
      </c>
      <c r="B581" s="1" t="s">
        <v>263</v>
      </c>
      <c r="C581" s="1" t="s">
        <v>530</v>
      </c>
      <c r="D581" s="1"/>
      <c r="E581" s="1"/>
      <c r="F581" s="1"/>
      <c r="G581" s="7">
        <f>COUNTIF(SheetTable02[Focal Document
Element],A581)</f>
        <v>6</v>
      </c>
      <c r="H581" s="7" t="str">
        <f>IF(A581=A580,"",_xlfn.TEXTJOIN(", ", TRUE, C581:INDEX(C:C, ROW(C581)+SheetTable02[[#This Row],[Column1]]-1)))</f>
        <v/>
      </c>
    </row>
    <row r="582" spans="1:8" ht="28.8">
      <c r="A582" s="1" t="s">
        <v>261</v>
      </c>
      <c r="B582" s="1" t="s">
        <v>263</v>
      </c>
      <c r="C582" s="1" t="s">
        <v>529</v>
      </c>
      <c r="D582" s="1"/>
      <c r="E582" s="1"/>
      <c r="F582" s="1"/>
      <c r="G582" s="7">
        <f>COUNTIF(SheetTable02[Focal Document
Element],A582)</f>
        <v>6</v>
      </c>
      <c r="H582" s="7" t="str">
        <f>IF(A582=A581,"",_xlfn.TEXTJOIN(", ", TRUE, C582:INDEX(C:C, ROW(C582)+SheetTable02[[#This Row],[Column1]]-1)))</f>
        <v/>
      </c>
    </row>
    <row r="583" spans="1:8" ht="28.8">
      <c r="A583" s="1" t="s">
        <v>261</v>
      </c>
      <c r="B583" s="1" t="s">
        <v>263</v>
      </c>
      <c r="C583" s="1" t="s">
        <v>528</v>
      </c>
      <c r="D583" s="1"/>
      <c r="E583" s="1"/>
      <c r="F583" s="1"/>
      <c r="G583" s="7">
        <f>COUNTIF(SheetTable02[Focal Document
Element],A583)</f>
        <v>6</v>
      </c>
      <c r="H583" s="7" t="str">
        <f>IF(A583=A582,"",_xlfn.TEXTJOIN(", ", TRUE, C583:INDEX(C:C, ROW(C583)+SheetTable02[[#This Row],[Column1]]-1)))</f>
        <v/>
      </c>
    </row>
    <row r="584" spans="1:8" ht="28.8">
      <c r="A584" s="1" t="s">
        <v>261</v>
      </c>
      <c r="B584" s="1" t="s">
        <v>263</v>
      </c>
      <c r="C584" s="1" t="s">
        <v>527</v>
      </c>
      <c r="D584" s="1"/>
      <c r="E584" s="1"/>
      <c r="F584" s="1"/>
      <c r="G584" s="7">
        <f>COUNTIF(SheetTable02[Focal Document
Element],A584)</f>
        <v>6</v>
      </c>
      <c r="H584" s="7" t="str">
        <f>IF(A584=A583,"",_xlfn.TEXTJOIN(", ", TRUE, C584:INDEX(C:C, ROW(C584)+SheetTable02[[#This Row],[Column1]]-1)))</f>
        <v/>
      </c>
    </row>
    <row r="585" spans="1:8" ht="28.8">
      <c r="A585" s="1" t="s">
        <v>261</v>
      </c>
      <c r="B585" s="1" t="s">
        <v>263</v>
      </c>
      <c r="C585" s="1" t="s">
        <v>526</v>
      </c>
      <c r="D585" s="1"/>
      <c r="E585" s="1"/>
      <c r="F585" s="1"/>
      <c r="G585" s="7">
        <f>COUNTIF(SheetTable02[Focal Document
Element],A585)</f>
        <v>6</v>
      </c>
      <c r="H585" s="7" t="str">
        <f>IF(A585=A584,"",_xlfn.TEXTJOIN(", ", TRUE, C585:INDEX(C:C, ROW(C585)+SheetTable02[[#This Row],[Column1]]-1)))</f>
        <v/>
      </c>
    </row>
    <row r="586" spans="1:8" ht="28.8">
      <c r="A586" s="1" t="s">
        <v>265</v>
      </c>
      <c r="B586" s="1" t="s">
        <v>267</v>
      </c>
      <c r="C586" s="1" t="s">
        <v>525</v>
      </c>
      <c r="D586" s="1"/>
      <c r="E586" s="1"/>
      <c r="F586" s="1"/>
      <c r="G586" s="7">
        <f>COUNTIF(SheetTable02[Focal Document
Element],A586)</f>
        <v>6</v>
      </c>
      <c r="H586" s="7" t="str">
        <f>IF(A586=A585,"",_xlfn.TEXTJOIN(", ", TRUE, C586:INDEX(C:C, ROW(C586)+SheetTable02[[#This Row],[Column1]]-1)))</f>
        <v>AU-02
, AU-03, AU-06, AU-07, AU-11, AU-12</v>
      </c>
    </row>
    <row r="587" spans="1:8" ht="28.8">
      <c r="A587" s="1" t="s">
        <v>265</v>
      </c>
      <c r="B587" s="1" t="s">
        <v>267</v>
      </c>
      <c r="C587" s="1" t="s">
        <v>524</v>
      </c>
      <c r="D587" s="1"/>
      <c r="E587" s="1"/>
      <c r="F587" s="1"/>
      <c r="G587" s="7">
        <f>COUNTIF(SheetTable02[Focal Document
Element],A587)</f>
        <v>6</v>
      </c>
      <c r="H587" s="7" t="str">
        <f>IF(A587=A586,"",_xlfn.TEXTJOIN(", ", TRUE, C587:INDEX(C:C, ROW(C587)+SheetTable02[[#This Row],[Column1]]-1)))</f>
        <v/>
      </c>
    </row>
    <row r="588" spans="1:8" ht="28.8">
      <c r="A588" s="1" t="s">
        <v>265</v>
      </c>
      <c r="B588" s="1" t="s">
        <v>267</v>
      </c>
      <c r="C588" s="1" t="s">
        <v>463</v>
      </c>
      <c r="D588" s="1"/>
      <c r="E588" s="1"/>
      <c r="F588" s="1"/>
      <c r="G588" s="7">
        <f>COUNTIF(SheetTable02[Focal Document
Element],A588)</f>
        <v>6</v>
      </c>
      <c r="H588" s="7" t="str">
        <f>IF(A588=A587,"",_xlfn.TEXTJOIN(", ", TRUE, C588:INDEX(C:C, ROW(C588)+SheetTable02[[#This Row],[Column1]]-1)))</f>
        <v/>
      </c>
    </row>
    <row r="589" spans="1:8" ht="28.8">
      <c r="A589" s="1" t="s">
        <v>265</v>
      </c>
      <c r="B589" s="1" t="s">
        <v>267</v>
      </c>
      <c r="C589" s="1" t="s">
        <v>443</v>
      </c>
      <c r="D589" s="1"/>
      <c r="E589" s="1"/>
      <c r="F589" s="1"/>
      <c r="G589" s="7">
        <f>COUNTIF(SheetTable02[Focal Document
Element],A589)</f>
        <v>6</v>
      </c>
      <c r="H589" s="7" t="str">
        <f>IF(A589=A588,"",_xlfn.TEXTJOIN(", ", TRUE, C589:INDEX(C:C, ROW(C589)+SheetTable02[[#This Row],[Column1]]-1)))</f>
        <v/>
      </c>
    </row>
    <row r="590" spans="1:8" ht="28.8">
      <c r="A590" s="1" t="s">
        <v>265</v>
      </c>
      <c r="B590" s="1" t="s">
        <v>267</v>
      </c>
      <c r="C590" s="1" t="s">
        <v>523</v>
      </c>
      <c r="D590" s="1"/>
      <c r="E590" s="1"/>
      <c r="F590" s="1"/>
      <c r="G590" s="7">
        <f>COUNTIF(SheetTable02[Focal Document
Element],A590)</f>
        <v>6</v>
      </c>
      <c r="H590" s="7" t="str">
        <f>IF(A590=A589,"",_xlfn.TEXTJOIN(", ", TRUE, C590:INDEX(C:C, ROW(C590)+SheetTable02[[#This Row],[Column1]]-1)))</f>
        <v/>
      </c>
    </row>
    <row r="591" spans="1:8" ht="28.8">
      <c r="A591" s="1" t="s">
        <v>265</v>
      </c>
      <c r="B591" s="1" t="s">
        <v>267</v>
      </c>
      <c r="C591" s="1" t="s">
        <v>473</v>
      </c>
      <c r="D591" s="1"/>
      <c r="E591" s="1"/>
      <c r="F591" s="1"/>
      <c r="G591" s="7">
        <f>COUNTIF(SheetTable02[Focal Document
Element],A591)</f>
        <v>6</v>
      </c>
      <c r="H591" s="7" t="str">
        <f>IF(A591=A590,"",_xlfn.TEXTJOIN(", ", TRUE, C591:INDEX(C:C, ROW(C591)+SheetTable02[[#This Row],[Column1]]-1)))</f>
        <v/>
      </c>
    </row>
    <row r="592" spans="1:8" ht="28.8">
      <c r="A592" s="1" t="s">
        <v>269</v>
      </c>
      <c r="B592" s="1" t="s">
        <v>270</v>
      </c>
      <c r="C592" s="1" t="s">
        <v>522</v>
      </c>
      <c r="D592" s="1"/>
      <c r="E592" s="1"/>
      <c r="F592" s="1"/>
      <c r="G592" s="7">
        <f>COUNTIF(SheetTable02[Focal Document
Element],A592)</f>
        <v>4</v>
      </c>
      <c r="H592" s="7" t="str">
        <f>IF(A592=A591,"",_xlfn.TEXTJOIN(", ", TRUE, C592:INDEX(C:C, ROW(C592)+SheetTable02[[#This Row],[Column1]]-1)))</f>
        <v>CM-07(02), CM-07(04), CM-07(05), SC-34</v>
      </c>
    </row>
    <row r="593" spans="1:8" ht="28.8">
      <c r="A593" s="1" t="s">
        <v>269</v>
      </c>
      <c r="B593" s="1" t="s">
        <v>270</v>
      </c>
      <c r="C593" s="1" t="s">
        <v>521</v>
      </c>
      <c r="D593" s="1"/>
      <c r="E593" s="1"/>
      <c r="F593" s="1"/>
      <c r="G593" s="7">
        <f>COUNTIF(SheetTable02[Focal Document
Element],A593)</f>
        <v>4</v>
      </c>
      <c r="H593" s="7" t="str">
        <f>IF(A593=A592,"",_xlfn.TEXTJOIN(", ", TRUE, C593:INDEX(C:C, ROW(C593)+SheetTable02[[#This Row],[Column1]]-1)))</f>
        <v/>
      </c>
    </row>
    <row r="594" spans="1:8" ht="28.8">
      <c r="A594" s="1" t="s">
        <v>269</v>
      </c>
      <c r="B594" s="1" t="s">
        <v>270</v>
      </c>
      <c r="C594" s="1" t="s">
        <v>520</v>
      </c>
      <c r="D594" s="1"/>
      <c r="E594" s="1"/>
      <c r="F594" s="1"/>
      <c r="G594" s="7">
        <f>COUNTIF(SheetTable02[Focal Document
Element],A594)</f>
        <v>4</v>
      </c>
      <c r="H594" s="7" t="str">
        <f>IF(A594=A593,"",_xlfn.TEXTJOIN(", ", TRUE, C594:INDEX(C:C, ROW(C594)+SheetTable02[[#This Row],[Column1]]-1)))</f>
        <v/>
      </c>
    </row>
    <row r="595" spans="1:8" ht="28.8">
      <c r="A595" s="1" t="s">
        <v>269</v>
      </c>
      <c r="B595" s="1" t="s">
        <v>270</v>
      </c>
      <c r="C595" s="1" t="s">
        <v>468</v>
      </c>
      <c r="D595" s="1"/>
      <c r="E595" s="1"/>
      <c r="F595" s="1"/>
      <c r="G595" s="7">
        <f>COUNTIF(SheetTable02[Focal Document
Element],A595)</f>
        <v>4</v>
      </c>
      <c r="H595" s="7" t="str">
        <f>IF(A595=A594,"",_xlfn.TEXTJOIN(", ", TRUE, C595:INDEX(C:C, ROW(C595)+SheetTable02[[#This Row],[Column1]]-1)))</f>
        <v/>
      </c>
    </row>
    <row r="596" spans="1:8" ht="57.6">
      <c r="A596" s="1" t="s">
        <v>272</v>
      </c>
      <c r="B596" s="1" t="s">
        <v>274</v>
      </c>
      <c r="C596" s="1" t="s">
        <v>519</v>
      </c>
      <c r="D596" s="1"/>
      <c r="E596" s="1"/>
      <c r="F596" s="1"/>
      <c r="G596" s="7">
        <f>COUNTIF(SheetTable02[Focal Document
Element],A596)</f>
        <v>6</v>
      </c>
      <c r="H596" s="7" t="str">
        <f>IF(A596=A595,"",_xlfn.TEXTJOIN(", ", TRUE, C596:INDEX(C:C, ROW(C596)+SheetTable02[[#This Row],[Column1]]-1)))</f>
        <v>SA-03, SA-08, SA-10, SA-11, SA-15, SA-17</v>
      </c>
    </row>
    <row r="597" spans="1:8" ht="57.6">
      <c r="A597" s="1" t="s">
        <v>272</v>
      </c>
      <c r="B597" s="1" t="s">
        <v>274</v>
      </c>
      <c r="C597" s="1" t="s">
        <v>499</v>
      </c>
      <c r="D597" s="1"/>
      <c r="E597" s="1"/>
      <c r="F597" s="1"/>
      <c r="G597" s="7">
        <f>COUNTIF(SheetTable02[Focal Document
Element],A597)</f>
        <v>6</v>
      </c>
      <c r="H597" s="7" t="str">
        <f>IF(A597=A596,"",_xlfn.TEXTJOIN(", ", TRUE, C597:INDEX(C:C, ROW(C597)+SheetTable02[[#This Row],[Column1]]-1)))</f>
        <v/>
      </c>
    </row>
    <row r="598" spans="1:8" ht="57.6">
      <c r="A598" s="1" t="s">
        <v>272</v>
      </c>
      <c r="B598" s="1" t="s">
        <v>274</v>
      </c>
      <c r="C598" s="1" t="s">
        <v>518</v>
      </c>
      <c r="D598" s="1"/>
      <c r="E598" s="1"/>
      <c r="F598" s="1"/>
      <c r="G598" s="7">
        <f>COUNTIF(SheetTable02[Focal Document
Element],A598)</f>
        <v>6</v>
      </c>
      <c r="H598" s="7" t="str">
        <f>IF(A598=A597,"",_xlfn.TEXTJOIN(", ", TRUE, C598:INDEX(C:C, ROW(C598)+SheetTable02[[#This Row],[Column1]]-1)))</f>
        <v/>
      </c>
    </row>
    <row r="599" spans="1:8" ht="57.6">
      <c r="A599" s="1" t="s">
        <v>272</v>
      </c>
      <c r="B599" s="1" t="s">
        <v>274</v>
      </c>
      <c r="C599" s="1" t="s">
        <v>517</v>
      </c>
      <c r="D599" s="1"/>
      <c r="E599" s="1"/>
      <c r="F599" s="1"/>
      <c r="G599" s="7">
        <f>COUNTIF(SheetTable02[Focal Document
Element],A599)</f>
        <v>6</v>
      </c>
      <c r="H599" s="7" t="str">
        <f>IF(A599=A598,"",_xlfn.TEXTJOIN(", ", TRUE, C599:INDEX(C:C, ROW(C599)+SheetTable02[[#This Row],[Column1]]-1)))</f>
        <v/>
      </c>
    </row>
    <row r="600" spans="1:8" ht="57.6">
      <c r="A600" s="1" t="s">
        <v>272</v>
      </c>
      <c r="B600" s="1" t="s">
        <v>274</v>
      </c>
      <c r="C600" s="1" t="s">
        <v>516</v>
      </c>
      <c r="D600" s="1"/>
      <c r="E600" s="1"/>
      <c r="F600" s="1"/>
      <c r="G600" s="7">
        <f>COUNTIF(SheetTable02[Focal Document
Element],A600)</f>
        <v>6</v>
      </c>
      <c r="H600" s="7" t="str">
        <f>IF(A600=A599,"",_xlfn.TEXTJOIN(", ", TRUE, C600:INDEX(C:C, ROW(C600)+SheetTable02[[#This Row],[Column1]]-1)))</f>
        <v/>
      </c>
    </row>
    <row r="601" spans="1:8" ht="57.6">
      <c r="A601" s="1" t="s">
        <v>272</v>
      </c>
      <c r="B601" s="1" t="s">
        <v>274</v>
      </c>
      <c r="C601" s="1" t="s">
        <v>515</v>
      </c>
      <c r="D601" s="1"/>
      <c r="E601" s="1"/>
      <c r="F601" s="1"/>
      <c r="G601" s="7">
        <f>COUNTIF(SheetTable02[Focal Document
Element],A601)</f>
        <v>6</v>
      </c>
      <c r="H601" s="7" t="str">
        <f>IF(A601=A600,"",_xlfn.TEXTJOIN(", ", TRUE, C601:INDEX(C:C, ROW(C601)+SheetTable02[[#This Row],[Column1]]-1)))</f>
        <v/>
      </c>
    </row>
    <row r="602" spans="1:8" ht="72">
      <c r="A602" s="1" t="s">
        <v>514</v>
      </c>
      <c r="B602" s="1" t="s">
        <v>513</v>
      </c>
      <c r="C602" s="1"/>
      <c r="D602" s="1"/>
      <c r="E602" s="1"/>
      <c r="F602" s="1"/>
      <c r="G602" s="7">
        <f>COUNTIF(SheetTable02[Focal Document
Element],A602)</f>
        <v>1</v>
      </c>
      <c r="H602" s="7" t="str">
        <f>IF(A602=A601,"",_xlfn.TEXTJOIN(", ", TRUE, C602:INDEX(C:C, ROW(C602)+SheetTable02[[#This Row],[Column1]]-1)))</f>
        <v/>
      </c>
    </row>
    <row r="603" spans="1:8" ht="43.2">
      <c r="A603" s="1" t="s">
        <v>276</v>
      </c>
      <c r="B603" s="1" t="s">
        <v>277</v>
      </c>
      <c r="C603" s="1" t="s">
        <v>512</v>
      </c>
      <c r="D603" s="1"/>
      <c r="E603" s="1"/>
      <c r="F603" s="1"/>
      <c r="G603" s="7">
        <f>COUNTIF(SheetTable02[Focal Document
Element],A603)</f>
        <v>5</v>
      </c>
      <c r="H603" s="7" t="str">
        <f>IF(A603=A602,"",_xlfn.TEXTJOIN(", ", TRUE, C603:INDEX(C:C, ROW(C603)+SheetTable02[[#This Row],[Column1]]-1)))</f>
        <v>AC-03, AC-04, SC-04, SC-05, SC-07</v>
      </c>
    </row>
    <row r="604" spans="1:8" ht="43.2">
      <c r="A604" s="1" t="s">
        <v>276</v>
      </c>
      <c r="B604" s="1" t="s">
        <v>277</v>
      </c>
      <c r="C604" s="1" t="s">
        <v>475</v>
      </c>
      <c r="D604" s="1"/>
      <c r="E604" s="1"/>
      <c r="F604" s="1"/>
      <c r="G604" s="7">
        <f>COUNTIF(SheetTable02[Focal Document
Element],A604)</f>
        <v>5</v>
      </c>
      <c r="H604" s="7" t="str">
        <f>IF(A604=A603,"",_xlfn.TEXTJOIN(", ", TRUE, C604:INDEX(C:C, ROW(C604)+SheetTable02[[#This Row],[Column1]]-1)))</f>
        <v/>
      </c>
    </row>
    <row r="605" spans="1:8" ht="43.2">
      <c r="A605" s="1" t="s">
        <v>276</v>
      </c>
      <c r="B605" s="1" t="s">
        <v>277</v>
      </c>
      <c r="C605" s="1" t="s">
        <v>511</v>
      </c>
      <c r="D605" s="1"/>
      <c r="E605" s="1"/>
      <c r="F605" s="1"/>
      <c r="G605" s="7">
        <f>COUNTIF(SheetTable02[Focal Document
Element],A605)</f>
        <v>5</v>
      </c>
      <c r="H605" s="7" t="str">
        <f>IF(A605=A604,"",_xlfn.TEXTJOIN(", ", TRUE, C605:INDEX(C:C, ROW(C605)+SheetTable02[[#This Row],[Column1]]-1)))</f>
        <v/>
      </c>
    </row>
    <row r="606" spans="1:8" ht="43.2">
      <c r="A606" s="1" t="s">
        <v>276</v>
      </c>
      <c r="B606" s="1" t="s">
        <v>277</v>
      </c>
      <c r="C606" s="1" t="s">
        <v>485</v>
      </c>
      <c r="D606" s="1"/>
      <c r="E606" s="1"/>
      <c r="F606" s="1"/>
      <c r="G606" s="7">
        <f>COUNTIF(SheetTable02[Focal Document
Element],A606)</f>
        <v>5</v>
      </c>
      <c r="H606" s="7" t="str">
        <f>IF(A606=A605,"",_xlfn.TEXTJOIN(", ", TRUE, C606:INDEX(C:C, ROW(C606)+SheetTable02[[#This Row],[Column1]]-1)))</f>
        <v/>
      </c>
    </row>
    <row r="607" spans="1:8" ht="43.2">
      <c r="A607" s="1" t="s">
        <v>276</v>
      </c>
      <c r="B607" s="1" t="s">
        <v>277</v>
      </c>
      <c r="C607" s="1" t="s">
        <v>484</v>
      </c>
      <c r="D607" s="1"/>
      <c r="E607" s="1"/>
      <c r="F607" s="1"/>
      <c r="G607" s="7">
        <f>COUNTIF(SheetTable02[Focal Document
Element],A607)</f>
        <v>5</v>
      </c>
      <c r="H607" s="7" t="str">
        <f>IF(A607=A606,"",_xlfn.TEXTJOIN(", ", TRUE, C607:INDEX(C:C, ROW(C607)+SheetTable02[[#This Row],[Column1]]-1)))</f>
        <v/>
      </c>
    </row>
    <row r="608" spans="1:8" ht="43.2">
      <c r="A608" s="1" t="s">
        <v>279</v>
      </c>
      <c r="B608" s="1" t="s">
        <v>281</v>
      </c>
      <c r="C608" s="1" t="s">
        <v>417</v>
      </c>
      <c r="D608" s="1"/>
      <c r="E608" s="1"/>
      <c r="F608" s="1"/>
      <c r="G608" s="7">
        <f>COUNTIF(SheetTable02[Focal Document
Element],A608)</f>
        <v>10</v>
      </c>
      <c r="H608" s="7" t="str">
        <f>IF(A608=A607,"",_xlfn.TEXTJOIN(", ", TRUE, C608:INDEX(C:C, ROW(C608)+SheetTable02[[#This Row],[Column1]]-1)))</f>
        <v>CP-02, PE-09, PE-10, PE-11, PE-12, PE-13, PE-14, PE-15, PE-18, PE-23</v>
      </c>
    </row>
    <row r="609" spans="1:8" ht="43.2">
      <c r="A609" s="1" t="s">
        <v>279</v>
      </c>
      <c r="B609" s="1" t="s">
        <v>281</v>
      </c>
      <c r="C609" s="1" t="s">
        <v>510</v>
      </c>
      <c r="D609" s="1"/>
      <c r="E609" s="1"/>
      <c r="F609" s="1"/>
      <c r="G609" s="7">
        <f>COUNTIF(SheetTable02[Focal Document
Element],A609)</f>
        <v>10</v>
      </c>
      <c r="H609" s="7" t="str">
        <f>IF(A609=A608,"",_xlfn.TEXTJOIN(", ", TRUE, C609:INDEX(C:C, ROW(C609)+SheetTable02[[#This Row],[Column1]]-1)))</f>
        <v/>
      </c>
    </row>
    <row r="610" spans="1:8" ht="43.2">
      <c r="A610" s="1" t="s">
        <v>279</v>
      </c>
      <c r="B610" s="1" t="s">
        <v>281</v>
      </c>
      <c r="C610" s="1" t="s">
        <v>509</v>
      </c>
      <c r="D610" s="1"/>
      <c r="E610" s="1"/>
      <c r="F610" s="1"/>
      <c r="G610" s="7">
        <f>COUNTIF(SheetTable02[Focal Document
Element],A610)</f>
        <v>10</v>
      </c>
      <c r="H610" s="7" t="str">
        <f>IF(A610=A609,"",_xlfn.TEXTJOIN(", ", TRUE, C610:INDEX(C:C, ROW(C610)+SheetTable02[[#This Row],[Column1]]-1)))</f>
        <v/>
      </c>
    </row>
    <row r="611" spans="1:8" ht="43.2">
      <c r="A611" s="1" t="s">
        <v>279</v>
      </c>
      <c r="B611" s="1" t="s">
        <v>281</v>
      </c>
      <c r="C611" s="1" t="s">
        <v>508</v>
      </c>
      <c r="D611" s="1"/>
      <c r="E611" s="1"/>
      <c r="F611" s="1"/>
      <c r="G611" s="7">
        <f>COUNTIF(SheetTable02[Focal Document
Element],A611)</f>
        <v>10</v>
      </c>
      <c r="H611" s="7" t="str">
        <f>IF(A611=A610,"",_xlfn.TEXTJOIN(", ", TRUE, C611:INDEX(C:C, ROW(C611)+SheetTable02[[#This Row],[Column1]]-1)))</f>
        <v/>
      </c>
    </row>
    <row r="612" spans="1:8" ht="43.2">
      <c r="A612" s="1" t="s">
        <v>279</v>
      </c>
      <c r="B612" s="1" t="s">
        <v>281</v>
      </c>
      <c r="C612" s="1" t="s">
        <v>507</v>
      </c>
      <c r="D612" s="1"/>
      <c r="E612" s="1"/>
      <c r="F612" s="1"/>
      <c r="G612" s="7">
        <f>COUNTIF(SheetTable02[Focal Document
Element],A612)</f>
        <v>10</v>
      </c>
      <c r="H612" s="7" t="str">
        <f>IF(A612=A611,"",_xlfn.TEXTJOIN(", ", TRUE, C612:INDEX(C:C, ROW(C612)+SheetTable02[[#This Row],[Column1]]-1)))</f>
        <v/>
      </c>
    </row>
    <row r="613" spans="1:8" ht="43.2">
      <c r="A613" s="1" t="s">
        <v>279</v>
      </c>
      <c r="B613" s="1" t="s">
        <v>281</v>
      </c>
      <c r="C613" s="1" t="s">
        <v>506</v>
      </c>
      <c r="D613" s="1"/>
      <c r="E613" s="1"/>
      <c r="F613" s="1"/>
      <c r="G613" s="7">
        <f>COUNTIF(SheetTable02[Focal Document
Element],A613)</f>
        <v>10</v>
      </c>
      <c r="H613" s="7" t="str">
        <f>IF(A613=A612,"",_xlfn.TEXTJOIN(", ", TRUE, C613:INDEX(C:C, ROW(C613)+SheetTable02[[#This Row],[Column1]]-1)))</f>
        <v/>
      </c>
    </row>
    <row r="614" spans="1:8" ht="43.2">
      <c r="A614" s="1" t="s">
        <v>279</v>
      </c>
      <c r="B614" s="1" t="s">
        <v>281</v>
      </c>
      <c r="C614" s="1" t="s">
        <v>505</v>
      </c>
      <c r="D614" s="1"/>
      <c r="E614" s="1"/>
      <c r="F614" s="1"/>
      <c r="G614" s="7">
        <f>COUNTIF(SheetTable02[Focal Document
Element],A614)</f>
        <v>10</v>
      </c>
      <c r="H614" s="7" t="str">
        <f>IF(A614=A613,"",_xlfn.TEXTJOIN(", ", TRUE, C614:INDEX(C:C, ROW(C614)+SheetTable02[[#This Row],[Column1]]-1)))</f>
        <v/>
      </c>
    </row>
    <row r="615" spans="1:8" ht="43.2">
      <c r="A615" s="1" t="s">
        <v>279</v>
      </c>
      <c r="B615" s="1" t="s">
        <v>281</v>
      </c>
      <c r="C615" s="1" t="s">
        <v>504</v>
      </c>
      <c r="D615" s="1"/>
      <c r="E615" s="1"/>
      <c r="F615" s="1"/>
      <c r="G615" s="7">
        <f>COUNTIF(SheetTable02[Focal Document
Element],A615)</f>
        <v>10</v>
      </c>
      <c r="H615" s="7" t="str">
        <f>IF(A615=A614,"",_xlfn.TEXTJOIN(", ", TRUE, C615:INDEX(C:C, ROW(C615)+SheetTable02[[#This Row],[Column1]]-1)))</f>
        <v/>
      </c>
    </row>
    <row r="616" spans="1:8" ht="43.2">
      <c r="A616" s="1" t="s">
        <v>279</v>
      </c>
      <c r="B616" s="1" t="s">
        <v>281</v>
      </c>
      <c r="C616" s="1" t="s">
        <v>503</v>
      </c>
      <c r="D616" s="1"/>
      <c r="E616" s="1"/>
      <c r="F616" s="1"/>
      <c r="G616" s="7">
        <f>COUNTIF(SheetTable02[Focal Document
Element],A616)</f>
        <v>10</v>
      </c>
      <c r="H616" s="7" t="str">
        <f>IF(A616=A615,"",_xlfn.TEXTJOIN(", ", TRUE, C616:INDEX(C:C, ROW(C616)+SheetTable02[[#This Row],[Column1]]-1)))</f>
        <v/>
      </c>
    </row>
    <row r="617" spans="1:8" ht="43.2">
      <c r="A617" s="1" t="s">
        <v>279</v>
      </c>
      <c r="B617" s="1" t="s">
        <v>281</v>
      </c>
      <c r="C617" s="1" t="s">
        <v>502</v>
      </c>
      <c r="D617" s="1"/>
      <c r="E617" s="1"/>
      <c r="F617" s="1"/>
      <c r="G617" s="7">
        <f>COUNTIF(SheetTable02[Focal Document
Element],A617)</f>
        <v>10</v>
      </c>
      <c r="H617" s="7" t="str">
        <f>IF(A617=A616,"",_xlfn.TEXTJOIN(", ", TRUE, C617:INDEX(C:C, ROW(C617)+SheetTable02[[#This Row],[Column1]]-1)))</f>
        <v/>
      </c>
    </row>
    <row r="618" spans="1:8" ht="43.2">
      <c r="A618" s="1" t="s">
        <v>283</v>
      </c>
      <c r="B618" s="1" t="s">
        <v>285</v>
      </c>
      <c r="C618" s="1" t="s">
        <v>501</v>
      </c>
      <c r="D618" s="1"/>
      <c r="E618" s="1"/>
      <c r="F618" s="1"/>
      <c r="G618" s="7">
        <f>COUNTIF(SheetTable02[Focal Document
Element],A618)</f>
        <v>8</v>
      </c>
      <c r="H618" s="7" t="str">
        <f>IF(A618=A617,"",_xlfn.TEXTJOIN(", ", TRUE, C618:INDEX(C:C, ROW(C618)+SheetTable02[[#This Row],[Column1]]-1)))</f>
        <v>CP, IR, SA-08, SC-06, SC-24, SC-36, SC-39, SI-13</v>
      </c>
    </row>
    <row r="619" spans="1:8" ht="43.2">
      <c r="A619" s="1" t="s">
        <v>283</v>
      </c>
      <c r="B619" s="1" t="s">
        <v>285</v>
      </c>
      <c r="C619" s="1" t="s">
        <v>500</v>
      </c>
      <c r="D619" s="1"/>
      <c r="E619" s="1"/>
      <c r="F619" s="1"/>
      <c r="G619" s="7">
        <f>COUNTIF(SheetTable02[Focal Document
Element],A619)</f>
        <v>8</v>
      </c>
      <c r="H619" s="7" t="str">
        <f>IF(A619=A618,"",_xlfn.TEXTJOIN(", ", TRUE, C619:INDEX(C:C, ROW(C619)+SheetTable02[[#This Row],[Column1]]-1)))</f>
        <v/>
      </c>
    </row>
    <row r="620" spans="1:8" ht="43.2">
      <c r="A620" s="1" t="s">
        <v>283</v>
      </c>
      <c r="B620" s="1" t="s">
        <v>285</v>
      </c>
      <c r="C620" s="1" t="s">
        <v>499</v>
      </c>
      <c r="D620" s="1"/>
      <c r="E620" s="1"/>
      <c r="F620" s="1"/>
      <c r="G620" s="7">
        <f>COUNTIF(SheetTable02[Focal Document
Element],A620)</f>
        <v>8</v>
      </c>
      <c r="H620" s="7" t="str">
        <f>IF(A620=A619,"",_xlfn.TEXTJOIN(", ", TRUE, C620:INDEX(C:C, ROW(C620)+SheetTable02[[#This Row],[Column1]]-1)))</f>
        <v/>
      </c>
    </row>
    <row r="621" spans="1:8" ht="43.2">
      <c r="A621" s="1" t="s">
        <v>283</v>
      </c>
      <c r="B621" s="1" t="s">
        <v>285</v>
      </c>
      <c r="C621" s="1" t="s">
        <v>498</v>
      </c>
      <c r="D621" s="1"/>
      <c r="E621" s="1"/>
      <c r="F621" s="1"/>
      <c r="G621" s="7">
        <f>COUNTIF(SheetTable02[Focal Document
Element],A621)</f>
        <v>8</v>
      </c>
      <c r="H621" s="7" t="str">
        <f>IF(A621=A620,"",_xlfn.TEXTJOIN(", ", TRUE, C621:INDEX(C:C, ROW(C621)+SheetTable02[[#This Row],[Column1]]-1)))</f>
        <v/>
      </c>
    </row>
    <row r="622" spans="1:8" ht="43.2">
      <c r="A622" s="1" t="s">
        <v>283</v>
      </c>
      <c r="B622" s="1" t="s">
        <v>285</v>
      </c>
      <c r="C622" s="1" t="s">
        <v>497</v>
      </c>
      <c r="D622" s="1"/>
      <c r="E622" s="1"/>
      <c r="F622" s="1"/>
      <c r="G622" s="7">
        <f>COUNTIF(SheetTable02[Focal Document
Element],A622)</f>
        <v>8</v>
      </c>
      <c r="H622" s="7" t="str">
        <f>IF(A622=A621,"",_xlfn.TEXTJOIN(", ", TRUE, C622:INDEX(C:C, ROW(C622)+SheetTable02[[#This Row],[Column1]]-1)))</f>
        <v/>
      </c>
    </row>
    <row r="623" spans="1:8" ht="43.2">
      <c r="A623" s="1" t="s">
        <v>283</v>
      </c>
      <c r="B623" s="1" t="s">
        <v>285</v>
      </c>
      <c r="C623" s="1" t="s">
        <v>496</v>
      </c>
      <c r="D623" s="1"/>
      <c r="E623" s="1"/>
      <c r="F623" s="1"/>
      <c r="G623" s="7">
        <f>COUNTIF(SheetTable02[Focal Document
Element],A623)</f>
        <v>8</v>
      </c>
      <c r="H623" s="7" t="str">
        <f>IF(A623=A622,"",_xlfn.TEXTJOIN(", ", TRUE, C623:INDEX(C:C, ROW(C623)+SheetTable02[[#This Row],[Column1]]-1)))</f>
        <v/>
      </c>
    </row>
    <row r="624" spans="1:8" ht="43.2">
      <c r="A624" s="1" t="s">
        <v>283</v>
      </c>
      <c r="B624" s="1" t="s">
        <v>285</v>
      </c>
      <c r="C624" s="1" t="s">
        <v>495</v>
      </c>
      <c r="D624" s="1"/>
      <c r="E624" s="1"/>
      <c r="F624" s="1"/>
      <c r="G624" s="7">
        <f>COUNTIF(SheetTable02[Focal Document
Element],A624)</f>
        <v>8</v>
      </c>
      <c r="H624" s="7" t="str">
        <f>IF(A624=A623,"",_xlfn.TEXTJOIN(", ", TRUE, C624:INDEX(C:C, ROW(C624)+SheetTable02[[#This Row],[Column1]]-1)))</f>
        <v/>
      </c>
    </row>
    <row r="625" spans="1:8" ht="43.2">
      <c r="A625" s="1" t="s">
        <v>283</v>
      </c>
      <c r="B625" s="1" t="s">
        <v>285</v>
      </c>
      <c r="C625" s="1" t="s">
        <v>494</v>
      </c>
      <c r="D625" s="1"/>
      <c r="E625" s="1"/>
      <c r="F625" s="1"/>
      <c r="G625" s="7">
        <f>COUNTIF(SheetTable02[Focal Document
Element],A625)</f>
        <v>8</v>
      </c>
      <c r="H625" s="7" t="str">
        <f>IF(A625=A624,"",_xlfn.TEXTJOIN(", ", TRUE, C625:INDEX(C:C, ROW(C625)+SheetTable02[[#This Row],[Column1]]-1)))</f>
        <v/>
      </c>
    </row>
    <row r="626" spans="1:8" ht="28.8">
      <c r="A626" s="1" t="s">
        <v>287</v>
      </c>
      <c r="B626" s="1" t="s">
        <v>289</v>
      </c>
      <c r="C626" s="1" t="s">
        <v>493</v>
      </c>
      <c r="D626" s="1"/>
      <c r="E626" s="1"/>
      <c r="F626" s="1"/>
      <c r="G626" s="7">
        <f>COUNTIF(SheetTable02[Focal Document
Element],A626)</f>
        <v>5</v>
      </c>
      <c r="H626" s="7" t="str">
        <f>IF(A626=A625,"",_xlfn.TEXTJOIN(", ", TRUE, C626:INDEX(C:C, ROW(C626)+SheetTable02[[#This Row],[Column1]]-1)))</f>
        <v>CP-06
, CP-07, CP-08, PM-03, PM-09</v>
      </c>
    </row>
    <row r="627" spans="1:8" ht="28.8">
      <c r="A627" s="1" t="s">
        <v>287</v>
      </c>
      <c r="B627" s="1" t="s">
        <v>289</v>
      </c>
      <c r="C627" s="1" t="s">
        <v>492</v>
      </c>
      <c r="D627" s="1"/>
      <c r="E627" s="1"/>
      <c r="F627" s="1"/>
      <c r="G627" s="7">
        <f>COUNTIF(SheetTable02[Focal Document
Element],A627)</f>
        <v>5</v>
      </c>
      <c r="H627" s="7" t="str">
        <f>IF(A627=A626,"",_xlfn.TEXTJOIN(", ", TRUE, C627:INDEX(C:C, ROW(C627)+SheetTable02[[#This Row],[Column1]]-1)))</f>
        <v/>
      </c>
    </row>
    <row r="628" spans="1:8" ht="28.8">
      <c r="A628" s="1" t="s">
        <v>287</v>
      </c>
      <c r="B628" s="1" t="s">
        <v>289</v>
      </c>
      <c r="C628" s="1" t="s">
        <v>491</v>
      </c>
      <c r="D628" s="1"/>
      <c r="E628" s="1"/>
      <c r="F628" s="1"/>
      <c r="G628" s="7">
        <f>COUNTIF(SheetTable02[Focal Document
Element],A628)</f>
        <v>5</v>
      </c>
      <c r="H628" s="7" t="str">
        <f>IF(A628=A627,"",_xlfn.TEXTJOIN(", ", TRUE, C628:INDEX(C:C, ROW(C628)+SheetTable02[[#This Row],[Column1]]-1)))</f>
        <v/>
      </c>
    </row>
    <row r="629" spans="1:8" ht="28.8">
      <c r="A629" s="1" t="s">
        <v>287</v>
      </c>
      <c r="B629" s="1" t="s">
        <v>289</v>
      </c>
      <c r="C629" s="1" t="s">
        <v>490</v>
      </c>
      <c r="D629" s="1"/>
      <c r="E629" s="1"/>
      <c r="F629" s="1"/>
      <c r="G629" s="7">
        <f>COUNTIF(SheetTable02[Focal Document
Element],A629)</f>
        <v>5</v>
      </c>
      <c r="H629" s="7" t="str">
        <f>IF(A629=A628,"",_xlfn.TEXTJOIN(", ", TRUE, C629:INDEX(C:C, ROW(C629)+SheetTable02[[#This Row],[Column1]]-1)))</f>
        <v/>
      </c>
    </row>
    <row r="630" spans="1:8" ht="28.8">
      <c r="A630" s="1" t="s">
        <v>287</v>
      </c>
      <c r="B630" s="1" t="s">
        <v>289</v>
      </c>
      <c r="C630" s="1" t="s">
        <v>426</v>
      </c>
      <c r="D630" s="1"/>
      <c r="E630" s="1"/>
      <c r="F630" s="1"/>
      <c r="G630" s="7">
        <f>COUNTIF(SheetTable02[Focal Document
Element],A630)</f>
        <v>5</v>
      </c>
      <c r="H630" s="7" t="str">
        <f>IF(A630=A629,"",_xlfn.TEXTJOIN(", ", TRUE, C630:INDEX(C:C, ROW(C630)+SheetTable02[[#This Row],[Column1]]-1)))</f>
        <v/>
      </c>
    </row>
    <row r="631" spans="1:8" ht="28.8">
      <c r="A631" s="1" t="s">
        <v>489</v>
      </c>
      <c r="B631" s="1" t="s">
        <v>488</v>
      </c>
      <c r="C631" s="1"/>
      <c r="D631" s="1"/>
      <c r="E631" s="1"/>
      <c r="F631" s="1"/>
      <c r="G631" s="7">
        <f>COUNTIF(SheetTable02[Focal Document
Element],A631)</f>
        <v>1</v>
      </c>
      <c r="H631" s="7" t="str">
        <f>IF(A631=A630,"",_xlfn.TEXTJOIN(", ", TRUE, C631:INDEX(C:C, ROW(C631)+SheetTable02[[#This Row],[Column1]]-1)))</f>
        <v/>
      </c>
    </row>
    <row r="632" spans="1:8" ht="43.2">
      <c r="A632" s="1" t="s">
        <v>487</v>
      </c>
      <c r="B632" s="1" t="s">
        <v>486</v>
      </c>
      <c r="C632" s="1"/>
      <c r="D632" s="1"/>
      <c r="E632" s="1"/>
      <c r="F632" s="1"/>
      <c r="G632" s="7">
        <f>COUNTIF(SheetTable02[Focal Document
Element],A632)</f>
        <v>1</v>
      </c>
      <c r="H632" s="7" t="str">
        <f>IF(A632=A631,"",_xlfn.TEXTJOIN(", ", TRUE, C632:INDEX(C:C, ROW(C632)+SheetTable02[[#This Row],[Column1]]-1)))</f>
        <v/>
      </c>
    </row>
    <row r="633" spans="1:8" ht="43.2">
      <c r="A633" s="1" t="s">
        <v>291</v>
      </c>
      <c r="B633" s="1" t="s">
        <v>293</v>
      </c>
      <c r="C633" s="1" t="s">
        <v>480</v>
      </c>
      <c r="D633" s="1"/>
      <c r="E633" s="1"/>
      <c r="F633" s="1"/>
      <c r="G633" s="7">
        <f>COUNTIF(SheetTable02[Focal Document
Element],A633)</f>
        <v>7</v>
      </c>
      <c r="H633" s="7" t="str">
        <f>IF(A633=A632,"",_xlfn.TEXTJOIN(", ", TRUE, C633:INDEX(C:C, ROW(C633)+SheetTable02[[#This Row],[Column1]]-1)))</f>
        <v>AC-02, AU-12, CA-07, CM-03, SC-05, SC-07, SI-04</v>
      </c>
    </row>
    <row r="634" spans="1:8" ht="43.2">
      <c r="A634" s="1" t="s">
        <v>291</v>
      </c>
      <c r="B634" s="1" t="s">
        <v>293</v>
      </c>
      <c r="C634" s="1" t="s">
        <v>473</v>
      </c>
      <c r="D634" s="1"/>
      <c r="E634" s="1"/>
      <c r="F634" s="1"/>
      <c r="G634" s="7">
        <f>COUNTIF(SheetTable02[Focal Document
Element],A634)</f>
        <v>7</v>
      </c>
      <c r="H634" s="7" t="str">
        <f>IF(A634=A633,"",_xlfn.TEXTJOIN(", ", TRUE, C634:INDEX(C:C, ROW(C634)+SheetTable02[[#This Row],[Column1]]-1)))</f>
        <v/>
      </c>
    </row>
    <row r="635" spans="1:8" ht="43.2">
      <c r="A635" s="1" t="s">
        <v>291</v>
      </c>
      <c r="B635" s="1" t="s">
        <v>293</v>
      </c>
      <c r="C635" s="1" t="s">
        <v>462</v>
      </c>
      <c r="D635" s="1"/>
      <c r="E635" s="1"/>
      <c r="F635" s="1"/>
      <c r="G635" s="7">
        <f>COUNTIF(SheetTable02[Focal Document
Element],A635)</f>
        <v>7</v>
      </c>
      <c r="H635" s="7" t="str">
        <f>IF(A635=A634,"",_xlfn.TEXTJOIN(", ", TRUE, C635:INDEX(C:C, ROW(C635)+SheetTable02[[#This Row],[Column1]]-1)))</f>
        <v/>
      </c>
    </row>
    <row r="636" spans="1:8" ht="43.2">
      <c r="A636" s="1" t="s">
        <v>291</v>
      </c>
      <c r="B636" s="1" t="s">
        <v>293</v>
      </c>
      <c r="C636" s="1" t="s">
        <v>472</v>
      </c>
      <c r="D636" s="1"/>
      <c r="E636" s="1"/>
      <c r="F636" s="1"/>
      <c r="G636" s="7">
        <f>COUNTIF(SheetTable02[Focal Document
Element],A636)</f>
        <v>7</v>
      </c>
      <c r="H636" s="7" t="str">
        <f>IF(A636=A635,"",_xlfn.TEXTJOIN(", ", TRUE, C636:INDEX(C:C, ROW(C636)+SheetTable02[[#This Row],[Column1]]-1)))</f>
        <v/>
      </c>
    </row>
    <row r="637" spans="1:8" ht="43.2">
      <c r="A637" s="1" t="s">
        <v>291</v>
      </c>
      <c r="B637" s="1" t="s">
        <v>293</v>
      </c>
      <c r="C637" s="1" t="s">
        <v>485</v>
      </c>
      <c r="D637" s="1"/>
      <c r="E637" s="1"/>
      <c r="F637" s="1"/>
      <c r="G637" s="7">
        <f>COUNTIF(SheetTable02[Focal Document
Element],A637)</f>
        <v>7</v>
      </c>
      <c r="H637" s="7" t="str">
        <f>IF(A637=A636,"",_xlfn.TEXTJOIN(", ", TRUE, C637:INDEX(C:C, ROW(C637)+SheetTable02[[#This Row],[Column1]]-1)))</f>
        <v/>
      </c>
    </row>
    <row r="638" spans="1:8" ht="43.2">
      <c r="A638" s="1" t="s">
        <v>291</v>
      </c>
      <c r="B638" s="1" t="s">
        <v>293</v>
      </c>
      <c r="C638" s="1" t="s">
        <v>484</v>
      </c>
      <c r="D638" s="1"/>
      <c r="E638" s="1"/>
      <c r="F638" s="1"/>
      <c r="G638" s="7">
        <f>COUNTIF(SheetTable02[Focal Document
Element],A638)</f>
        <v>7</v>
      </c>
      <c r="H638" s="7" t="str">
        <f>IF(A638=A637,"",_xlfn.TEXTJOIN(", ", TRUE, C638:INDEX(C:C, ROW(C638)+SheetTable02[[#This Row],[Column1]]-1)))</f>
        <v/>
      </c>
    </row>
    <row r="639" spans="1:8" ht="43.2">
      <c r="A639" s="1" t="s">
        <v>291</v>
      </c>
      <c r="B639" s="1" t="s">
        <v>293</v>
      </c>
      <c r="C639" s="1" t="s">
        <v>461</v>
      </c>
      <c r="D639" s="1"/>
      <c r="E639" s="1"/>
      <c r="F639" s="1"/>
      <c r="G639" s="7">
        <f>COUNTIF(SheetTable02[Focal Document
Element],A639)</f>
        <v>7</v>
      </c>
      <c r="H639" s="7" t="str">
        <f>IF(A639=A638,"",_xlfn.TEXTJOIN(", ", TRUE, C639:INDEX(C:C, ROW(C639)+SheetTable02[[#This Row],[Column1]]-1)))</f>
        <v/>
      </c>
    </row>
    <row r="640" spans="1:8" ht="28.8">
      <c r="A640" s="1" t="s">
        <v>295</v>
      </c>
      <c r="B640" s="1" t="s">
        <v>297</v>
      </c>
      <c r="C640" s="1" t="s">
        <v>462</v>
      </c>
      <c r="D640" s="1"/>
      <c r="E640" s="1"/>
      <c r="F640" s="1"/>
      <c r="G640" s="7">
        <f>COUNTIF(SheetTable02[Focal Document
Element],A640)</f>
        <v>4</v>
      </c>
      <c r="H640" s="7" t="str">
        <f>IF(A640=A639,"",_xlfn.TEXTJOIN(", ", TRUE, C640:INDEX(C:C, ROW(C640)+SheetTable02[[#This Row],[Column1]]-1)))</f>
        <v>CA-07, PE-03, PE-06, PE-20</v>
      </c>
    </row>
    <row r="641" spans="1:8" ht="28.8">
      <c r="A641" s="1" t="s">
        <v>295</v>
      </c>
      <c r="B641" s="1" t="s">
        <v>297</v>
      </c>
      <c r="C641" s="1" t="s">
        <v>483</v>
      </c>
      <c r="D641" s="1"/>
      <c r="E641" s="1"/>
      <c r="F641" s="1"/>
      <c r="G641" s="7">
        <f>COUNTIF(SheetTable02[Focal Document
Element],A641)</f>
        <v>4</v>
      </c>
      <c r="H641" s="7" t="str">
        <f>IF(A641=A640,"",_xlfn.TEXTJOIN(", ", TRUE, C641:INDEX(C:C, ROW(C641)+SheetTable02[[#This Row],[Column1]]-1)))</f>
        <v/>
      </c>
    </row>
    <row r="642" spans="1:8" ht="28.8">
      <c r="A642" s="1" t="s">
        <v>295</v>
      </c>
      <c r="B642" s="1" t="s">
        <v>297</v>
      </c>
      <c r="C642" s="1" t="s">
        <v>482</v>
      </c>
      <c r="D642" s="1"/>
      <c r="E642" s="1"/>
      <c r="F642" s="1"/>
      <c r="G642" s="7">
        <f>COUNTIF(SheetTable02[Focal Document
Element],A642)</f>
        <v>4</v>
      </c>
      <c r="H642" s="7" t="str">
        <f>IF(A642=A641,"",_xlfn.TEXTJOIN(", ", TRUE, C642:INDEX(C:C, ROW(C642)+SheetTable02[[#This Row],[Column1]]-1)))</f>
        <v/>
      </c>
    </row>
    <row r="643" spans="1:8" ht="28.8">
      <c r="A643" s="1" t="s">
        <v>295</v>
      </c>
      <c r="B643" s="1" t="s">
        <v>297</v>
      </c>
      <c r="C643" s="1" t="s">
        <v>481</v>
      </c>
      <c r="D643" s="1"/>
      <c r="E643" s="1"/>
      <c r="F643" s="1"/>
      <c r="G643" s="7">
        <f>COUNTIF(SheetTable02[Focal Document
Element],A643)</f>
        <v>4</v>
      </c>
      <c r="H643" s="7" t="str">
        <f>IF(A643=A642,"",_xlfn.TEXTJOIN(", ", TRUE, C643:INDEX(C:C, ROW(C643)+SheetTable02[[#This Row],[Column1]]-1)))</f>
        <v/>
      </c>
    </row>
    <row r="644" spans="1:8" ht="43.2">
      <c r="A644" s="1" t="s">
        <v>299</v>
      </c>
      <c r="B644" s="1" t="s">
        <v>301</v>
      </c>
      <c r="C644" s="1" t="s">
        <v>480</v>
      </c>
      <c r="D644" s="1"/>
      <c r="E644" s="1"/>
      <c r="F644" s="1"/>
      <c r="G644" s="7">
        <f>COUNTIF(SheetTable02[Focal Document
Element],A644)</f>
        <v>6</v>
      </c>
      <c r="H644" s="7" t="str">
        <f>IF(A644=A643,"",_xlfn.TEXTJOIN(", ", TRUE, C644:INDEX(C:C, ROW(C644)+SheetTable02[[#This Row],[Column1]]-1)))</f>
        <v>AC-02, AU-12, AU-13, CA-07, CM-10, CM-11</v>
      </c>
    </row>
    <row r="645" spans="1:8" ht="43.2">
      <c r="A645" s="1" t="s">
        <v>299</v>
      </c>
      <c r="B645" s="1" t="s">
        <v>301</v>
      </c>
      <c r="C645" s="1" t="s">
        <v>473</v>
      </c>
      <c r="D645" s="1"/>
      <c r="E645" s="1"/>
      <c r="F645" s="1"/>
      <c r="G645" s="7">
        <f>COUNTIF(SheetTable02[Focal Document
Element],A645)</f>
        <v>6</v>
      </c>
      <c r="H645" s="7" t="str">
        <f>IF(A645=A644,"",_xlfn.TEXTJOIN(", ", TRUE, C645:INDEX(C:C, ROW(C645)+SheetTable02[[#This Row],[Column1]]-1)))</f>
        <v/>
      </c>
    </row>
    <row r="646" spans="1:8" ht="43.2">
      <c r="A646" s="1" t="s">
        <v>299</v>
      </c>
      <c r="B646" s="1" t="s">
        <v>301</v>
      </c>
      <c r="C646" s="1" t="s">
        <v>479</v>
      </c>
      <c r="D646" s="1"/>
      <c r="E646" s="1"/>
      <c r="F646" s="1"/>
      <c r="G646" s="7">
        <f>COUNTIF(SheetTable02[Focal Document
Element],A646)</f>
        <v>6</v>
      </c>
      <c r="H646" s="7" t="str">
        <f>IF(A646=A645,"",_xlfn.TEXTJOIN(", ", TRUE, C646:INDEX(C:C, ROW(C646)+SheetTable02[[#This Row],[Column1]]-1)))</f>
        <v/>
      </c>
    </row>
    <row r="647" spans="1:8" ht="43.2">
      <c r="A647" s="1" t="s">
        <v>299</v>
      </c>
      <c r="B647" s="1" t="s">
        <v>301</v>
      </c>
      <c r="C647" s="1" t="s">
        <v>462</v>
      </c>
      <c r="D647" s="1"/>
      <c r="E647" s="1"/>
      <c r="F647" s="1"/>
      <c r="G647" s="7">
        <f>COUNTIF(SheetTable02[Focal Document
Element],A647)</f>
        <v>6</v>
      </c>
      <c r="H647" s="7" t="str">
        <f>IF(A647=A646,"",_xlfn.TEXTJOIN(", ", TRUE, C647:INDEX(C:C, ROW(C647)+SheetTable02[[#This Row],[Column1]]-1)))</f>
        <v/>
      </c>
    </row>
    <row r="648" spans="1:8" ht="43.2">
      <c r="A648" s="1" t="s">
        <v>299</v>
      </c>
      <c r="B648" s="1" t="s">
        <v>301</v>
      </c>
      <c r="C648" s="1" t="s">
        <v>470</v>
      </c>
      <c r="D648" s="1"/>
      <c r="E648" s="1"/>
      <c r="F648" s="1"/>
      <c r="G648" s="7">
        <f>COUNTIF(SheetTable02[Focal Document
Element],A648)</f>
        <v>6</v>
      </c>
      <c r="H648" s="7" t="str">
        <f>IF(A648=A647,"",_xlfn.TEXTJOIN(", ", TRUE, C648:INDEX(C:C, ROW(C648)+SheetTable02[[#This Row],[Column1]]-1)))</f>
        <v/>
      </c>
    </row>
    <row r="649" spans="1:8" ht="43.2">
      <c r="A649" s="1" t="s">
        <v>299</v>
      </c>
      <c r="B649" s="1" t="s">
        <v>301</v>
      </c>
      <c r="C649" s="1" t="s">
        <v>469</v>
      </c>
      <c r="D649" s="1"/>
      <c r="E649" s="1"/>
      <c r="F649" s="1"/>
      <c r="G649" s="7">
        <f>COUNTIF(SheetTable02[Focal Document
Element],A649)</f>
        <v>6</v>
      </c>
      <c r="H649" s="7" t="str">
        <f>IF(A649=A648,"",_xlfn.TEXTJOIN(", ", TRUE, C649:INDEX(C:C, ROW(C649)+SheetTable02[[#This Row],[Column1]]-1)))</f>
        <v/>
      </c>
    </row>
    <row r="650" spans="1:8" ht="43.2">
      <c r="A650" s="1" t="s">
        <v>303</v>
      </c>
      <c r="B650" s="1" t="s">
        <v>305</v>
      </c>
      <c r="C650" s="1" t="s">
        <v>462</v>
      </c>
      <c r="D650" s="1"/>
      <c r="E650" s="1"/>
      <c r="F650" s="1"/>
      <c r="G650" s="7">
        <f>COUNTIF(SheetTable02[Focal Document
Element],A650)</f>
        <v>5</v>
      </c>
      <c r="H650" s="7" t="str">
        <f>IF(A650=A649,"",_xlfn.TEXTJOIN(", ", TRUE, C650:INDEX(C:C, ROW(C650)+SheetTable02[[#This Row],[Column1]]-1)))</f>
        <v>CA-07, PS-07, SA-04, SA-09, SI-04</v>
      </c>
    </row>
    <row r="651" spans="1:8" ht="43.2">
      <c r="A651" s="1" t="s">
        <v>303</v>
      </c>
      <c r="B651" s="1" t="s">
        <v>305</v>
      </c>
      <c r="C651" s="1" t="s">
        <v>478</v>
      </c>
      <c r="D651" s="1"/>
      <c r="E651" s="1"/>
      <c r="F651" s="1"/>
      <c r="G651" s="7">
        <f>COUNTIF(SheetTable02[Focal Document
Element],A651)</f>
        <v>5</v>
      </c>
      <c r="H651" s="7" t="str">
        <f>IF(A651=A650,"",_xlfn.TEXTJOIN(", ", TRUE, C651:INDEX(C:C, ROW(C651)+SheetTable02[[#This Row],[Column1]]-1)))</f>
        <v/>
      </c>
    </row>
    <row r="652" spans="1:8" ht="43.2">
      <c r="A652" s="1" t="s">
        <v>303</v>
      </c>
      <c r="B652" s="1" t="s">
        <v>305</v>
      </c>
      <c r="C652" s="1" t="s">
        <v>477</v>
      </c>
      <c r="D652" s="1"/>
      <c r="E652" s="1"/>
      <c r="F652" s="1"/>
      <c r="G652" s="7">
        <f>COUNTIF(SheetTable02[Focal Document
Element],A652)</f>
        <v>5</v>
      </c>
      <c r="H652" s="7" t="str">
        <f>IF(A652=A651,"",_xlfn.TEXTJOIN(", ", TRUE, C652:INDEX(C:C, ROW(C652)+SheetTable02[[#This Row],[Column1]]-1)))</f>
        <v/>
      </c>
    </row>
    <row r="653" spans="1:8" ht="43.2">
      <c r="A653" s="1" t="s">
        <v>303</v>
      </c>
      <c r="B653" s="1" t="s">
        <v>305</v>
      </c>
      <c r="C653" s="1" t="s">
        <v>476</v>
      </c>
      <c r="D653" s="1"/>
      <c r="E653" s="1"/>
      <c r="F653" s="1"/>
      <c r="G653" s="7">
        <f>COUNTIF(SheetTable02[Focal Document
Element],A653)</f>
        <v>5</v>
      </c>
      <c r="H653" s="7" t="str">
        <f>IF(A653=A652,"",_xlfn.TEXTJOIN(", ", TRUE, C653:INDEX(C:C, ROW(C653)+SheetTable02[[#This Row],[Column1]]-1)))</f>
        <v/>
      </c>
    </row>
    <row r="654" spans="1:8" ht="43.2">
      <c r="A654" s="1" t="s">
        <v>303</v>
      </c>
      <c r="B654" s="1" t="s">
        <v>305</v>
      </c>
      <c r="C654" s="1" t="s">
        <v>461</v>
      </c>
      <c r="D654" s="1"/>
      <c r="E654" s="1"/>
      <c r="F654" s="1"/>
      <c r="G654" s="7">
        <f>COUNTIF(SheetTable02[Focal Document
Element],A654)</f>
        <v>5</v>
      </c>
      <c r="H654" s="7" t="str">
        <f>IF(A654=A653,"",_xlfn.TEXTJOIN(", ", TRUE, C654:INDEX(C:C, ROW(C654)+SheetTable02[[#This Row],[Column1]]-1)))</f>
        <v/>
      </c>
    </row>
    <row r="655" spans="1:8" ht="57.6">
      <c r="A655" s="1" t="s">
        <v>307</v>
      </c>
      <c r="B655" s="1" t="s">
        <v>309</v>
      </c>
      <c r="C655" s="1" t="s">
        <v>475</v>
      </c>
      <c r="D655" s="1"/>
      <c r="E655" s="1"/>
      <c r="F655" s="1"/>
      <c r="G655" s="7">
        <f>COUNTIF(SheetTable02[Focal Document
Element],A655)</f>
        <v>12</v>
      </c>
      <c r="H655" s="7" t="str">
        <f>IF(A655=A654,"",_xlfn.TEXTJOIN(", ", TRUE, C655:INDEX(C:C, ROW(C655)+SheetTable02[[#This Row],[Column1]]-1)))</f>
        <v>AC-04, AC-09, AU-12, CA-07, CM-03, CM-06, CM-10, CM-11, SC-34, SC-35, SI-04, SI-07</v>
      </c>
    </row>
    <row r="656" spans="1:8" ht="57.6">
      <c r="A656" s="1" t="s">
        <v>307</v>
      </c>
      <c r="B656" s="1" t="s">
        <v>309</v>
      </c>
      <c r="C656" s="1" t="s">
        <v>474</v>
      </c>
      <c r="D656" s="1"/>
      <c r="E656" s="1"/>
      <c r="F656" s="1"/>
      <c r="G656" s="7">
        <f>COUNTIF(SheetTable02[Focal Document
Element],A656)</f>
        <v>12</v>
      </c>
      <c r="H656" s="7" t="str">
        <f>IF(A656=A655,"",_xlfn.TEXTJOIN(", ", TRUE, C656:INDEX(C:C, ROW(C656)+SheetTable02[[#This Row],[Column1]]-1)))</f>
        <v/>
      </c>
    </row>
    <row r="657" spans="1:8" ht="57.6">
      <c r="A657" s="1" t="s">
        <v>307</v>
      </c>
      <c r="B657" s="1" t="s">
        <v>309</v>
      </c>
      <c r="C657" s="1" t="s">
        <v>473</v>
      </c>
      <c r="D657" s="1"/>
      <c r="E657" s="1"/>
      <c r="F657" s="1"/>
      <c r="G657" s="7">
        <f>COUNTIF(SheetTable02[Focal Document
Element],A657)</f>
        <v>12</v>
      </c>
      <c r="H657" s="7" t="str">
        <f>IF(A657=A656,"",_xlfn.TEXTJOIN(", ", TRUE, C657:INDEX(C:C, ROW(C657)+SheetTable02[[#This Row],[Column1]]-1)))</f>
        <v/>
      </c>
    </row>
    <row r="658" spans="1:8" ht="57.6">
      <c r="A658" s="1" t="s">
        <v>307</v>
      </c>
      <c r="B658" s="1" t="s">
        <v>309</v>
      </c>
      <c r="C658" s="1" t="s">
        <v>462</v>
      </c>
      <c r="D658" s="1"/>
      <c r="E658" s="1"/>
      <c r="F658" s="1"/>
      <c r="G658" s="7">
        <f>COUNTIF(SheetTable02[Focal Document
Element],A658)</f>
        <v>12</v>
      </c>
      <c r="H658" s="7" t="str">
        <f>IF(A658=A657,"",_xlfn.TEXTJOIN(", ", TRUE, C658:INDEX(C:C, ROW(C658)+SheetTable02[[#This Row],[Column1]]-1)))</f>
        <v/>
      </c>
    </row>
    <row r="659" spans="1:8" ht="57.6">
      <c r="A659" s="1" t="s">
        <v>307</v>
      </c>
      <c r="B659" s="1" t="s">
        <v>309</v>
      </c>
      <c r="C659" s="1" t="s">
        <v>472</v>
      </c>
      <c r="D659" s="1"/>
      <c r="E659" s="1"/>
      <c r="F659" s="1"/>
      <c r="G659" s="7">
        <f>COUNTIF(SheetTable02[Focal Document
Element],A659)</f>
        <v>12</v>
      </c>
      <c r="H659" s="7" t="str">
        <f>IF(A659=A658,"",_xlfn.TEXTJOIN(", ", TRUE, C659:INDEX(C:C, ROW(C659)+SheetTable02[[#This Row],[Column1]]-1)))</f>
        <v/>
      </c>
    </row>
    <row r="660" spans="1:8" ht="57.6">
      <c r="A660" s="1" t="s">
        <v>307</v>
      </c>
      <c r="B660" s="1" t="s">
        <v>309</v>
      </c>
      <c r="C660" s="1" t="s">
        <v>471</v>
      </c>
      <c r="D660" s="1"/>
      <c r="E660" s="1"/>
      <c r="F660" s="1"/>
      <c r="G660" s="7">
        <f>COUNTIF(SheetTable02[Focal Document
Element],A660)</f>
        <v>12</v>
      </c>
      <c r="H660" s="7" t="str">
        <f>IF(A660=A659,"",_xlfn.TEXTJOIN(", ", TRUE, C660:INDEX(C:C, ROW(C660)+SheetTable02[[#This Row],[Column1]]-1)))</f>
        <v/>
      </c>
    </row>
    <row r="661" spans="1:8" ht="57.6">
      <c r="A661" s="1" t="s">
        <v>307</v>
      </c>
      <c r="B661" s="1" t="s">
        <v>309</v>
      </c>
      <c r="C661" s="1" t="s">
        <v>470</v>
      </c>
      <c r="D661" s="1"/>
      <c r="E661" s="1"/>
      <c r="F661" s="1"/>
      <c r="G661" s="7">
        <f>COUNTIF(SheetTable02[Focal Document
Element],A661)</f>
        <v>12</v>
      </c>
      <c r="H661" s="7" t="str">
        <f>IF(A661=A660,"",_xlfn.TEXTJOIN(", ", TRUE, C661:INDEX(C:C, ROW(C661)+SheetTable02[[#This Row],[Column1]]-1)))</f>
        <v/>
      </c>
    </row>
    <row r="662" spans="1:8" ht="57.6">
      <c r="A662" s="1" t="s">
        <v>307</v>
      </c>
      <c r="B662" s="1" t="s">
        <v>309</v>
      </c>
      <c r="C662" s="1" t="s">
        <v>469</v>
      </c>
      <c r="D662" s="1"/>
      <c r="E662" s="1"/>
      <c r="F662" s="1"/>
      <c r="G662" s="7">
        <f>COUNTIF(SheetTable02[Focal Document
Element],A662)</f>
        <v>12</v>
      </c>
      <c r="H662" s="7" t="str">
        <f>IF(A662=A661,"",_xlfn.TEXTJOIN(", ", TRUE, C662:INDEX(C:C, ROW(C662)+SheetTable02[[#This Row],[Column1]]-1)))</f>
        <v/>
      </c>
    </row>
    <row r="663" spans="1:8" ht="57.6">
      <c r="A663" s="1" t="s">
        <v>307</v>
      </c>
      <c r="B663" s="1" t="s">
        <v>309</v>
      </c>
      <c r="C663" s="1" t="s">
        <v>468</v>
      </c>
      <c r="D663" s="1"/>
      <c r="E663" s="1"/>
      <c r="F663" s="1"/>
      <c r="G663" s="7">
        <f>COUNTIF(SheetTable02[Focal Document
Element],A663)</f>
        <v>12</v>
      </c>
      <c r="H663" s="7" t="str">
        <f>IF(A663=A662,"",_xlfn.TEXTJOIN(", ", TRUE, C663:INDEX(C:C, ROW(C663)+SheetTable02[[#This Row],[Column1]]-1)))</f>
        <v/>
      </c>
    </row>
    <row r="664" spans="1:8" ht="57.6">
      <c r="A664" s="1" t="s">
        <v>307</v>
      </c>
      <c r="B664" s="1" t="s">
        <v>309</v>
      </c>
      <c r="C664" s="1" t="s">
        <v>467</v>
      </c>
      <c r="D664" s="1"/>
      <c r="E664" s="1"/>
      <c r="F664" s="1"/>
      <c r="G664" s="7">
        <f>COUNTIF(SheetTable02[Focal Document
Element],A664)</f>
        <v>12</v>
      </c>
      <c r="H664" s="7" t="str">
        <f>IF(A664=A663,"",_xlfn.TEXTJOIN(", ", TRUE, C664:INDEX(C:C, ROW(C664)+SheetTable02[[#This Row],[Column1]]-1)))</f>
        <v/>
      </c>
    </row>
    <row r="665" spans="1:8" ht="57.6">
      <c r="A665" s="1" t="s">
        <v>307</v>
      </c>
      <c r="B665" s="1" t="s">
        <v>309</v>
      </c>
      <c r="C665" s="1" t="s">
        <v>461</v>
      </c>
      <c r="D665" s="1"/>
      <c r="E665" s="1"/>
      <c r="F665" s="1"/>
      <c r="G665" s="7">
        <f>COUNTIF(SheetTable02[Focal Document
Element],A665)</f>
        <v>12</v>
      </c>
      <c r="H665" s="7" t="str">
        <f>IF(A665=A664,"",_xlfn.TEXTJOIN(", ", TRUE, C665:INDEX(C:C, ROW(C665)+SheetTable02[[#This Row],[Column1]]-1)))</f>
        <v/>
      </c>
    </row>
    <row r="666" spans="1:8" ht="57.6">
      <c r="A666" s="1" t="s">
        <v>307</v>
      </c>
      <c r="B666" s="1" t="s">
        <v>309</v>
      </c>
      <c r="C666" s="1" t="s">
        <v>466</v>
      </c>
      <c r="D666" s="1"/>
      <c r="E666" s="1"/>
      <c r="F666" s="1"/>
      <c r="G666" s="7">
        <f>COUNTIF(SheetTable02[Focal Document
Element],A666)</f>
        <v>12</v>
      </c>
      <c r="H666" s="7" t="str">
        <f>IF(A666=A665,"",_xlfn.TEXTJOIN(", ", TRUE, C666:INDEX(C:C, ROW(C666)+SheetTable02[[#This Row],[Column1]]-1)))</f>
        <v/>
      </c>
    </row>
    <row r="667" spans="1:8" ht="57.6">
      <c r="A667" s="1" t="s">
        <v>465</v>
      </c>
      <c r="B667" s="1" t="s">
        <v>464</v>
      </c>
      <c r="C667" s="1"/>
      <c r="D667" s="1"/>
      <c r="E667" s="1"/>
      <c r="F667" s="1"/>
      <c r="G667" s="7">
        <f>COUNTIF(SheetTable02[Focal Document
Element],A667)</f>
        <v>1</v>
      </c>
      <c r="H667" s="7" t="str">
        <f>IF(A667=A666,"",_xlfn.TEXTJOIN(", ", TRUE, C667:INDEX(C:C, ROW(C667)+SheetTable02[[#This Row],[Column1]]-1)))</f>
        <v/>
      </c>
    </row>
    <row r="668" spans="1:8" ht="43.2">
      <c r="A668" s="1" t="s">
        <v>311</v>
      </c>
      <c r="B668" s="1" t="s">
        <v>313</v>
      </c>
      <c r="C668" s="1" t="s">
        <v>463</v>
      </c>
      <c r="D668" s="1"/>
      <c r="E668" s="1"/>
      <c r="F668" s="1"/>
      <c r="G668" s="7">
        <f>COUNTIF(SheetTable02[Focal Document
Element],A668)</f>
        <v>4</v>
      </c>
      <c r="H668" s="7" t="str">
        <f>IF(A668=A667,"",_xlfn.TEXTJOIN(", ", TRUE, C668:INDEX(C:C, ROW(C668)+SheetTable02[[#This Row],[Column1]]-1)))</f>
        <v>AU-06, CA-07, IR-04, SI-04</v>
      </c>
    </row>
    <row r="669" spans="1:8" ht="43.2">
      <c r="A669" s="1" t="s">
        <v>311</v>
      </c>
      <c r="B669" s="1" t="s">
        <v>313</v>
      </c>
      <c r="C669" s="1" t="s">
        <v>462</v>
      </c>
      <c r="D669" s="1"/>
      <c r="E669" s="1"/>
      <c r="F669" s="1"/>
      <c r="G669" s="7">
        <f>COUNTIF(SheetTable02[Focal Document
Element],A669)</f>
        <v>4</v>
      </c>
      <c r="H669" s="7" t="str">
        <f>IF(A669=A668,"",_xlfn.TEXTJOIN(", ", TRUE, C669:INDEX(C:C, ROW(C669)+SheetTable02[[#This Row],[Column1]]-1)))</f>
        <v/>
      </c>
    </row>
    <row r="670" spans="1:8" ht="43.2">
      <c r="A670" s="1" t="s">
        <v>311</v>
      </c>
      <c r="B670" s="1" t="s">
        <v>313</v>
      </c>
      <c r="C670" s="1" t="s">
        <v>416</v>
      </c>
      <c r="D670" s="1"/>
      <c r="E670" s="1"/>
      <c r="F670" s="1"/>
      <c r="G670" s="7">
        <f>COUNTIF(SheetTable02[Focal Document
Element],A670)</f>
        <v>4</v>
      </c>
      <c r="H670" s="7" t="str">
        <f>IF(A670=A669,"",_xlfn.TEXTJOIN(", ", TRUE, C670:INDEX(C:C, ROW(C670)+SheetTable02[[#This Row],[Column1]]-1)))</f>
        <v/>
      </c>
    </row>
    <row r="671" spans="1:8" ht="43.2">
      <c r="A671" s="1" t="s">
        <v>311</v>
      </c>
      <c r="B671" s="1" t="s">
        <v>313</v>
      </c>
      <c r="C671" s="1" t="s">
        <v>461</v>
      </c>
      <c r="D671" s="1"/>
      <c r="E671" s="1"/>
      <c r="F671" s="1"/>
      <c r="G671" s="7">
        <f>COUNTIF(SheetTable02[Focal Document
Element],A671)</f>
        <v>4</v>
      </c>
      <c r="H671" s="7" t="str">
        <f>IF(A671=A670,"",_xlfn.TEXTJOIN(", ", TRUE, C671:INDEX(C:C, ROW(C671)+SheetTable02[[#This Row],[Column1]]-1)))</f>
        <v/>
      </c>
    </row>
    <row r="672" spans="1:8" ht="28.8">
      <c r="A672" s="1" t="s">
        <v>315</v>
      </c>
      <c r="B672" s="1" t="s">
        <v>317</v>
      </c>
      <c r="C672" s="1" t="s">
        <v>463</v>
      </c>
      <c r="D672" s="1"/>
      <c r="E672" s="1"/>
      <c r="F672" s="1"/>
      <c r="G672" s="7">
        <f>COUNTIF(SheetTable02[Focal Document
Element],A672)</f>
        <v>7</v>
      </c>
      <c r="H672" s="7" t="str">
        <f>IF(A672=A671,"",_xlfn.TEXTJOIN(", ", TRUE, C672:INDEX(C:C, ROW(C672)+SheetTable02[[#This Row],[Column1]]-1)))</f>
        <v>AU-06, CA-07, PM-16, IR-04, IR-05, IR-08, SI-04</v>
      </c>
    </row>
    <row r="673" spans="1:8" ht="28.8">
      <c r="A673" s="1" t="s">
        <v>315</v>
      </c>
      <c r="B673" s="1" t="s">
        <v>317</v>
      </c>
      <c r="C673" s="1" t="s">
        <v>462</v>
      </c>
      <c r="D673" s="1"/>
      <c r="E673" s="1"/>
      <c r="F673" s="1"/>
      <c r="G673" s="7">
        <f>COUNTIF(SheetTable02[Focal Document
Element],A673)</f>
        <v>7</v>
      </c>
      <c r="H673" s="7" t="str">
        <f>IF(A673=A672,"",_xlfn.TEXTJOIN(", ", TRUE, C673:INDEX(C:C, ROW(C673)+SheetTable02[[#This Row],[Column1]]-1)))</f>
        <v/>
      </c>
    </row>
    <row r="674" spans="1:8" ht="28.8">
      <c r="A674" s="1" t="s">
        <v>315</v>
      </c>
      <c r="B674" s="1" t="s">
        <v>317</v>
      </c>
      <c r="C674" s="1" t="s">
        <v>456</v>
      </c>
      <c r="D674" s="1"/>
      <c r="E674" s="1"/>
      <c r="F674" s="1"/>
      <c r="G674" s="7">
        <f>COUNTIF(SheetTable02[Focal Document
Element],A674)</f>
        <v>7</v>
      </c>
      <c r="H674" s="7" t="str">
        <f>IF(A674=A673,"",_xlfn.TEXTJOIN(", ", TRUE, C674:INDEX(C:C, ROW(C674)+SheetTable02[[#This Row],[Column1]]-1)))</f>
        <v/>
      </c>
    </row>
    <row r="675" spans="1:8" ht="28.8">
      <c r="A675" s="1" t="s">
        <v>315</v>
      </c>
      <c r="B675" s="1" t="s">
        <v>317</v>
      </c>
      <c r="C675" s="1" t="s">
        <v>416</v>
      </c>
      <c r="D675" s="1"/>
      <c r="E675" s="1"/>
      <c r="F675" s="1"/>
      <c r="G675" s="7">
        <f>COUNTIF(SheetTable02[Focal Document
Element],A675)</f>
        <v>7</v>
      </c>
      <c r="H675" s="7" t="str">
        <f>IF(A675=A674,"",_xlfn.TEXTJOIN(", ", TRUE, C675:INDEX(C:C, ROW(C675)+SheetTable02[[#This Row],[Column1]]-1)))</f>
        <v/>
      </c>
    </row>
    <row r="676" spans="1:8" ht="28.8">
      <c r="A676" s="1" t="s">
        <v>315</v>
      </c>
      <c r="B676" s="1" t="s">
        <v>317</v>
      </c>
      <c r="C676" s="1" t="s">
        <v>446</v>
      </c>
      <c r="D676" s="1"/>
      <c r="E676" s="1"/>
      <c r="F676" s="1"/>
      <c r="G676" s="7">
        <f>COUNTIF(SheetTable02[Focal Document
Element],A676)</f>
        <v>7</v>
      </c>
      <c r="H676" s="7" t="str">
        <f>IF(A676=A675,"",_xlfn.TEXTJOIN(", ", TRUE, C676:INDEX(C:C, ROW(C676)+SheetTable02[[#This Row],[Column1]]-1)))</f>
        <v/>
      </c>
    </row>
    <row r="677" spans="1:8" ht="28.8">
      <c r="A677" s="1" t="s">
        <v>315</v>
      </c>
      <c r="B677" s="1" t="s">
        <v>317</v>
      </c>
      <c r="C677" s="1" t="s">
        <v>422</v>
      </c>
      <c r="D677" s="1"/>
      <c r="E677" s="1"/>
      <c r="F677" s="1"/>
      <c r="G677" s="7">
        <f>COUNTIF(SheetTable02[Focal Document
Element],A677)</f>
        <v>7</v>
      </c>
      <c r="H677" s="7" t="str">
        <f>IF(A677=A676,"",_xlfn.TEXTJOIN(", ", TRUE, C677:INDEX(C:C, ROW(C677)+SheetTable02[[#This Row],[Column1]]-1)))</f>
        <v/>
      </c>
    </row>
    <row r="678" spans="1:8" ht="28.8">
      <c r="A678" s="1" t="s">
        <v>315</v>
      </c>
      <c r="B678" s="1" t="s">
        <v>317</v>
      </c>
      <c r="C678" s="1" t="s">
        <v>461</v>
      </c>
      <c r="D678" s="1"/>
      <c r="E678" s="1"/>
      <c r="F678" s="1"/>
      <c r="G678" s="7">
        <f>COUNTIF(SheetTable02[Focal Document
Element],A678)</f>
        <v>7</v>
      </c>
      <c r="H678" s="7" t="str">
        <f>IF(A678=A677,"",_xlfn.TEXTJOIN(", ", TRUE, C678:INDEX(C:C, ROW(C678)+SheetTable02[[#This Row],[Column1]]-1)))</f>
        <v/>
      </c>
    </row>
    <row r="679" spans="1:8" ht="28.8">
      <c r="A679" s="1" t="s">
        <v>319</v>
      </c>
      <c r="B679" s="1" t="s">
        <v>321</v>
      </c>
      <c r="C679" s="1" t="s">
        <v>426</v>
      </c>
      <c r="D679" s="1"/>
      <c r="E679" s="1"/>
      <c r="F679" s="1"/>
      <c r="G679" s="7">
        <f>COUNTIF(SheetTable02[Focal Document
Element],A679)</f>
        <v>5</v>
      </c>
      <c r="H679" s="7" t="str">
        <f>IF(A679=A678,"",_xlfn.TEXTJOIN(", ", TRUE, C679:INDEX(C:C, ROW(C679)+SheetTable02[[#This Row],[Column1]]-1)))</f>
        <v>PM-09, PM-11, PM-18, PM-28, PM-30</v>
      </c>
    </row>
    <row r="680" spans="1:8" ht="28.8">
      <c r="A680" s="1" t="s">
        <v>319</v>
      </c>
      <c r="B680" s="1" t="s">
        <v>321</v>
      </c>
      <c r="C680" s="1" t="s">
        <v>425</v>
      </c>
      <c r="D680" s="1"/>
      <c r="E680" s="1"/>
      <c r="F680" s="1"/>
      <c r="G680" s="7">
        <f>COUNTIF(SheetTable02[Focal Document
Element],A680)</f>
        <v>5</v>
      </c>
      <c r="H680" s="7" t="str">
        <f>IF(A680=A679,"",_xlfn.TEXTJOIN(", ", TRUE, C680:INDEX(C:C, ROW(C680)+SheetTable02[[#This Row],[Column1]]-1)))</f>
        <v/>
      </c>
    </row>
    <row r="681" spans="1:8" ht="28.8">
      <c r="A681" s="1" t="s">
        <v>319</v>
      </c>
      <c r="B681" s="1" t="s">
        <v>321</v>
      </c>
      <c r="C681" s="1" t="s">
        <v>460</v>
      </c>
      <c r="D681" s="1"/>
      <c r="E681" s="1"/>
      <c r="F681" s="1"/>
      <c r="G681" s="7">
        <f>COUNTIF(SheetTable02[Focal Document
Element],A681)</f>
        <v>5</v>
      </c>
      <c r="H681" s="7" t="str">
        <f>IF(A681=A680,"",_xlfn.TEXTJOIN(", ", TRUE, C681:INDEX(C:C, ROW(C681)+SheetTable02[[#This Row],[Column1]]-1)))</f>
        <v/>
      </c>
    </row>
    <row r="682" spans="1:8" ht="28.8">
      <c r="A682" s="1" t="s">
        <v>319</v>
      </c>
      <c r="B682" s="1" t="s">
        <v>321</v>
      </c>
      <c r="C682" s="1" t="s">
        <v>459</v>
      </c>
      <c r="D682" s="1"/>
      <c r="E682" s="1"/>
      <c r="F682" s="1"/>
      <c r="G682" s="7">
        <f>COUNTIF(SheetTable02[Focal Document
Element],A682)</f>
        <v>5</v>
      </c>
      <c r="H682" s="7" t="str">
        <f>IF(A682=A681,"",_xlfn.TEXTJOIN(", ", TRUE, C682:INDEX(C:C, ROW(C682)+SheetTable02[[#This Row],[Column1]]-1)))</f>
        <v/>
      </c>
    </row>
    <row r="683" spans="1:8" ht="28.8">
      <c r="A683" s="1" t="s">
        <v>319</v>
      </c>
      <c r="B683" s="1" t="s">
        <v>321</v>
      </c>
      <c r="C683" s="1" t="s">
        <v>458</v>
      </c>
      <c r="D683" s="1"/>
      <c r="E683" s="1"/>
      <c r="F683" s="1"/>
      <c r="G683" s="7">
        <f>COUNTIF(SheetTable02[Focal Document
Element],A683)</f>
        <v>5</v>
      </c>
      <c r="H683" s="7" t="str">
        <f>IF(A683=A682,"",_xlfn.TEXTJOIN(", ", TRUE, C683:INDEX(C:C, ROW(C683)+SheetTable02[[#This Row],[Column1]]-1)))</f>
        <v/>
      </c>
    </row>
    <row r="684" spans="1:8" ht="28.8">
      <c r="A684" s="1" t="s">
        <v>323</v>
      </c>
      <c r="B684" s="1" t="s">
        <v>325</v>
      </c>
      <c r="C684" s="1" t="s">
        <v>416</v>
      </c>
      <c r="D684" s="1"/>
      <c r="E684" s="1"/>
      <c r="F684" s="1"/>
      <c r="G684" s="7">
        <f>COUNTIF(SheetTable02[Focal Document
Element],A684)</f>
        <v>5</v>
      </c>
      <c r="H684" s="7" t="str">
        <f>IF(A684=A683,"",_xlfn.TEXTJOIN(", ", TRUE, C684:INDEX(C:C, ROW(C684)+SheetTable02[[#This Row],[Column1]]-1)))</f>
        <v>IR-04, PM-15, PM-16, RA-04, RA-10</v>
      </c>
    </row>
    <row r="685" spans="1:8" ht="28.8">
      <c r="A685" s="1" t="s">
        <v>323</v>
      </c>
      <c r="B685" s="1" t="s">
        <v>325</v>
      </c>
      <c r="C685" s="1" t="s">
        <v>457</v>
      </c>
      <c r="D685" s="1"/>
      <c r="E685" s="1"/>
      <c r="F685" s="1"/>
      <c r="G685" s="7">
        <f>COUNTIF(SheetTable02[Focal Document
Element],A685)</f>
        <v>5</v>
      </c>
      <c r="H685" s="7" t="str">
        <f>IF(A685=A684,"",_xlfn.TEXTJOIN(", ", TRUE, C685:INDEX(C:C, ROW(C685)+SheetTable02[[#This Row],[Column1]]-1)))</f>
        <v/>
      </c>
    </row>
    <row r="686" spans="1:8" ht="28.8">
      <c r="A686" s="1" t="s">
        <v>323</v>
      </c>
      <c r="B686" s="1" t="s">
        <v>325</v>
      </c>
      <c r="C686" s="1" t="s">
        <v>456</v>
      </c>
      <c r="D686" s="1"/>
      <c r="E686" s="1"/>
      <c r="F686" s="1"/>
      <c r="G686" s="7">
        <f>COUNTIF(SheetTable02[Focal Document
Element],A686)</f>
        <v>5</v>
      </c>
      <c r="H686" s="7" t="str">
        <f>IF(A686=A685,"",_xlfn.TEXTJOIN(", ", TRUE, C686:INDEX(C:C, ROW(C686)+SheetTable02[[#This Row],[Column1]]-1)))</f>
        <v/>
      </c>
    </row>
    <row r="687" spans="1:8" ht="28.8">
      <c r="A687" s="1" t="s">
        <v>323</v>
      </c>
      <c r="B687" s="1" t="s">
        <v>325</v>
      </c>
      <c r="C687" s="1" t="s">
        <v>455</v>
      </c>
      <c r="D687" s="1"/>
      <c r="E687" s="1"/>
      <c r="F687" s="1"/>
      <c r="G687" s="7">
        <f>COUNTIF(SheetTable02[Focal Document
Element],A687)</f>
        <v>5</v>
      </c>
      <c r="H687" s="7" t="str">
        <f>IF(A687=A686,"",_xlfn.TEXTJOIN(", ", TRUE, C687:INDEX(C:C, ROW(C687)+SheetTable02[[#This Row],[Column1]]-1)))</f>
        <v/>
      </c>
    </row>
    <row r="688" spans="1:8" ht="28.8">
      <c r="A688" s="1" t="s">
        <v>323</v>
      </c>
      <c r="B688" s="1" t="s">
        <v>325</v>
      </c>
      <c r="C688" s="1" t="s">
        <v>453</v>
      </c>
      <c r="D688" s="1"/>
      <c r="E688" s="1"/>
      <c r="F688" s="1"/>
      <c r="G688" s="7">
        <f>COUNTIF(SheetTable02[Focal Document
Element],A688)</f>
        <v>5</v>
      </c>
      <c r="H688" s="7" t="str">
        <f>IF(A688=A687,"",_xlfn.TEXTJOIN(", ", TRUE, C688:INDEX(C:C, ROW(C688)+SheetTable02[[#This Row],[Column1]]-1)))</f>
        <v/>
      </c>
    </row>
    <row r="689" spans="1:8" ht="43.2">
      <c r="A689" s="1" t="s">
        <v>327</v>
      </c>
      <c r="B689" s="1" t="s">
        <v>328</v>
      </c>
      <c r="C689" s="1" t="s">
        <v>454</v>
      </c>
      <c r="D689" s="1"/>
      <c r="E689" s="1"/>
      <c r="F689" s="1"/>
      <c r="G689" s="7">
        <f>COUNTIF(SheetTable02[Focal Document
Element],A689)</f>
        <v>3</v>
      </c>
      <c r="H689" s="7" t="str">
        <f>IF(A689=A688,"",_xlfn.TEXTJOIN(", ", TRUE, C689:INDEX(C:C, ROW(C689)+SheetTable02[[#This Row],[Column1]]-1)))</f>
        <v>PM-16
, RA-03, RA-10</v>
      </c>
    </row>
    <row r="690" spans="1:8" ht="43.2">
      <c r="A690" s="1" t="s">
        <v>327</v>
      </c>
      <c r="B690" s="1" t="s">
        <v>328</v>
      </c>
      <c r="C690" s="1" t="s">
        <v>442</v>
      </c>
      <c r="D690" s="1"/>
      <c r="E690" s="1"/>
      <c r="F690" s="1"/>
      <c r="G690" s="7">
        <f>COUNTIF(SheetTable02[Focal Document
Element],A690)</f>
        <v>3</v>
      </c>
      <c r="H690" s="7" t="str">
        <f>IF(A690=A689,"",_xlfn.TEXTJOIN(", ", TRUE, C690:INDEX(C:C, ROW(C690)+SheetTable02[[#This Row],[Column1]]-1)))</f>
        <v/>
      </c>
    </row>
    <row r="691" spans="1:8" ht="43.2">
      <c r="A691" s="1" t="s">
        <v>327</v>
      </c>
      <c r="B691" s="1" t="s">
        <v>328</v>
      </c>
      <c r="C691" t="s">
        <v>453</v>
      </c>
      <c r="G691" s="7">
        <f>COUNTIF(SheetTable02[Focal Document
Element],A691)</f>
        <v>3</v>
      </c>
      <c r="H691" s="7" t="str">
        <f>IF(A691=A690,"",_xlfn.TEXTJOIN(", ", TRUE, C691:INDEX(C:C, ROW(C691)+SheetTable02[[#This Row],[Column1]]-1)))</f>
        <v/>
      </c>
    </row>
    <row r="692" spans="1:8" ht="43.2">
      <c r="A692" s="1" t="s">
        <v>330</v>
      </c>
      <c r="B692" s="1" t="s">
        <v>332</v>
      </c>
      <c r="C692" s="1" t="s">
        <v>452</v>
      </c>
      <c r="D692" s="1"/>
      <c r="E692" s="1"/>
      <c r="F692" s="1"/>
      <c r="G692" s="7">
        <f>COUNTIF(SheetTable02[Focal Document
Element],A692)</f>
        <v>2</v>
      </c>
      <c r="H692" s="7" t="str">
        <f>IF(A692=A691,"",_xlfn.TEXTJOIN(", ", TRUE, C692:INDEX(C:C, ROW(C692)+SheetTable02[[#This Row],[Column1]]-1)))</f>
        <v>IR-04
, IR-08</v>
      </c>
    </row>
    <row r="693" spans="1:8" ht="43.2">
      <c r="A693" s="1" t="s">
        <v>330</v>
      </c>
      <c r="B693" s="1" t="s">
        <v>332</v>
      </c>
      <c r="C693" s="1" t="s">
        <v>422</v>
      </c>
      <c r="D693" s="1"/>
      <c r="E693" s="1"/>
      <c r="F693" s="1"/>
      <c r="G693" s="7">
        <f>COUNTIF(SheetTable02[Focal Document
Element],A693)</f>
        <v>2</v>
      </c>
      <c r="H693" s="7" t="str">
        <f>IF(A693=A692,"",_xlfn.TEXTJOIN(", ", TRUE, C693:INDEX(C:C, ROW(C693)+SheetTable02[[#This Row],[Column1]]-1)))</f>
        <v/>
      </c>
    </row>
    <row r="694" spans="1:8" ht="28.8">
      <c r="A694" s="1" t="s">
        <v>451</v>
      </c>
      <c r="B694" s="1" t="s">
        <v>450</v>
      </c>
      <c r="C694" s="1"/>
      <c r="D694" s="1"/>
      <c r="E694" s="1"/>
      <c r="F694" s="1"/>
      <c r="G694" s="7">
        <f>COUNTIF(SheetTable02[Focal Document
Element],A694)</f>
        <v>1</v>
      </c>
      <c r="H694" s="7" t="str">
        <f>IF(A694=A693,"",_xlfn.TEXTJOIN(", ", TRUE, C694:INDEX(C:C, ROW(C694)+SheetTable02[[#This Row],[Column1]]-1)))</f>
        <v/>
      </c>
    </row>
    <row r="695" spans="1:8" ht="28.8">
      <c r="A695" s="1" t="s">
        <v>449</v>
      </c>
      <c r="B695" s="1" t="s">
        <v>448</v>
      </c>
      <c r="C695" s="1" t="s">
        <v>416</v>
      </c>
      <c r="D695" s="1"/>
      <c r="E695" s="1"/>
      <c r="F695" s="1"/>
      <c r="G695" s="7">
        <f>COUNTIF(SheetTable02[Focal Document
Element],A695)</f>
        <v>4</v>
      </c>
      <c r="H695" s="7" t="str">
        <f>IF(A695=A694,"",_xlfn.TEXTJOIN(", ", TRUE, C695:INDEX(C:C, ROW(C695)+SheetTable02[[#This Row],[Column1]]-1)))</f>
        <v>IR-04, IR-07, IR-08, IR-09</v>
      </c>
    </row>
    <row r="696" spans="1:8" ht="28.8">
      <c r="A696" s="1" t="s">
        <v>449</v>
      </c>
      <c r="B696" s="1" t="s">
        <v>448</v>
      </c>
      <c r="C696" s="1" t="s">
        <v>438</v>
      </c>
      <c r="D696" s="1"/>
      <c r="E696" s="1"/>
      <c r="F696" s="1"/>
      <c r="G696" s="7">
        <f>COUNTIF(SheetTable02[Focal Document
Element],A696)</f>
        <v>4</v>
      </c>
      <c r="H696" s="7" t="str">
        <f>IF(A696=A695,"",_xlfn.TEXTJOIN(", ", TRUE, C696:INDEX(C:C, ROW(C696)+SheetTable02[[#This Row],[Column1]]-1)))</f>
        <v/>
      </c>
    </row>
    <row r="697" spans="1:8" ht="28.8">
      <c r="A697" s="1" t="s">
        <v>449</v>
      </c>
      <c r="B697" s="1" t="s">
        <v>448</v>
      </c>
      <c r="C697" s="1" t="s">
        <v>422</v>
      </c>
      <c r="D697" s="1"/>
      <c r="E697" s="1"/>
      <c r="F697" s="1"/>
      <c r="G697" s="7">
        <f>COUNTIF(SheetTable02[Focal Document
Element],A697)</f>
        <v>4</v>
      </c>
      <c r="H697" s="7" t="str">
        <f>IF(A697=A696,"",_xlfn.TEXTJOIN(", ", TRUE, C697:INDEX(C:C, ROW(C697)+SheetTable02[[#This Row],[Column1]]-1)))</f>
        <v/>
      </c>
    </row>
    <row r="698" spans="1:8" ht="28.8">
      <c r="A698" s="1" t="s">
        <v>449</v>
      </c>
      <c r="B698" s="1" t="s">
        <v>448</v>
      </c>
      <c r="C698" s="1" t="s">
        <v>447</v>
      </c>
      <c r="D698" s="1"/>
      <c r="E698" s="1"/>
      <c r="F698" s="1"/>
      <c r="G698" s="7">
        <f>COUNTIF(SheetTable02[Focal Document
Element],A698)</f>
        <v>4</v>
      </c>
      <c r="H698" s="7" t="str">
        <f>IF(A698=A697,"",_xlfn.TEXTJOIN(", ", TRUE, C698:INDEX(C:C, ROW(C698)+SheetTable02[[#This Row],[Column1]]-1)))</f>
        <v/>
      </c>
    </row>
    <row r="699" spans="1:8" ht="43.2">
      <c r="A699" s="1" t="s">
        <v>334</v>
      </c>
      <c r="B699" s="1" t="s">
        <v>336</v>
      </c>
      <c r="C699" s="1" t="s">
        <v>419</v>
      </c>
      <c r="D699" s="1"/>
      <c r="E699" s="1"/>
      <c r="F699" s="1"/>
      <c r="G699" s="7">
        <f>COUNTIF(SheetTable02[Focal Document
Element],A699)</f>
        <v>5</v>
      </c>
      <c r="H699" s="7" t="str">
        <f>IF(A699=A698,"",_xlfn.TEXTJOIN(", ", TRUE, C699:INDEX(C:C, ROW(C699)+SheetTable02[[#This Row],[Column1]]-1)))</f>
        <v>IR-06, IR-07, IR-08, SR-03, SR-08</v>
      </c>
    </row>
    <row r="700" spans="1:8" ht="43.2">
      <c r="A700" s="1" t="s">
        <v>334</v>
      </c>
      <c r="B700" s="1" t="s">
        <v>336</v>
      </c>
      <c r="C700" s="1" t="s">
        <v>438</v>
      </c>
      <c r="D700" s="1"/>
      <c r="E700" s="1"/>
      <c r="F700" s="1"/>
      <c r="G700" s="7">
        <f>COUNTIF(SheetTable02[Focal Document
Element],A700)</f>
        <v>5</v>
      </c>
      <c r="H700" s="7" t="str">
        <f>IF(A700=A699,"",_xlfn.TEXTJOIN(", ", TRUE, C700:INDEX(C:C, ROW(C700)+SheetTable02[[#This Row],[Column1]]-1)))</f>
        <v/>
      </c>
    </row>
    <row r="701" spans="1:8" ht="43.2">
      <c r="A701" s="1" t="s">
        <v>334</v>
      </c>
      <c r="B701" s="1" t="s">
        <v>336</v>
      </c>
      <c r="C701" s="1" t="s">
        <v>422</v>
      </c>
      <c r="D701" s="1"/>
      <c r="E701" s="1"/>
      <c r="F701" s="1"/>
      <c r="G701" s="7">
        <f>COUNTIF(SheetTable02[Focal Document
Element],A701)</f>
        <v>5</v>
      </c>
      <c r="H701" s="7" t="str">
        <f>IF(A701=A700,"",_xlfn.TEXTJOIN(", ", TRUE, C701:INDEX(C:C, ROW(C701)+SheetTable02[[#This Row],[Column1]]-1)))</f>
        <v/>
      </c>
    </row>
    <row r="702" spans="1:8" ht="43.2">
      <c r="A702" s="1" t="s">
        <v>334</v>
      </c>
      <c r="B702" s="1" t="s">
        <v>336</v>
      </c>
      <c r="C702" s="1" t="s">
        <v>437</v>
      </c>
      <c r="D702" s="1"/>
      <c r="E702" s="1"/>
      <c r="F702" s="1"/>
      <c r="G702" s="7">
        <f>COUNTIF(SheetTable02[Focal Document
Element],A702)</f>
        <v>5</v>
      </c>
      <c r="H702" s="7" t="str">
        <f>IF(A702=A701,"",_xlfn.TEXTJOIN(", ", TRUE, C702:INDEX(C:C, ROW(C702)+SheetTable02[[#This Row],[Column1]]-1)))</f>
        <v/>
      </c>
    </row>
    <row r="703" spans="1:8" ht="43.2">
      <c r="A703" s="1" t="s">
        <v>334</v>
      </c>
      <c r="B703" s="1" t="s">
        <v>336</v>
      </c>
      <c r="C703" s="1" t="s">
        <v>418</v>
      </c>
      <c r="D703" s="1"/>
      <c r="E703" s="1"/>
      <c r="F703" s="1"/>
      <c r="G703" s="7">
        <f>COUNTIF(SheetTable02[Focal Document
Element],A703)</f>
        <v>5</v>
      </c>
      <c r="H703" s="7" t="str">
        <f>IF(A703=A702,"",_xlfn.TEXTJOIN(", ", TRUE, C703:INDEX(C:C, ROW(C703)+SheetTable02[[#This Row],[Column1]]-1)))</f>
        <v/>
      </c>
    </row>
    <row r="704" spans="1:8" ht="28.8">
      <c r="A704" s="1" t="s">
        <v>338</v>
      </c>
      <c r="B704" s="1" t="s">
        <v>340</v>
      </c>
      <c r="C704" s="1" t="s">
        <v>416</v>
      </c>
      <c r="D704" s="1"/>
      <c r="E704" s="1"/>
      <c r="F704" s="1"/>
      <c r="G704" s="7">
        <f>COUNTIF(SheetTable02[Focal Document
Element],A704)</f>
        <v>3</v>
      </c>
      <c r="H704" s="7" t="str">
        <f>IF(A704=A703,"",_xlfn.TEXTJOIN(", ", TRUE, C704:INDEX(C:C, ROW(C704)+SheetTable02[[#This Row],[Column1]]-1)))</f>
        <v>IR-04, IR-05, IR-06</v>
      </c>
    </row>
    <row r="705" spans="1:8" ht="28.8">
      <c r="A705" s="1" t="s">
        <v>338</v>
      </c>
      <c r="B705" s="1" t="s">
        <v>340</v>
      </c>
      <c r="C705" s="1" t="s">
        <v>446</v>
      </c>
      <c r="D705" s="1"/>
      <c r="E705" s="1"/>
      <c r="F705" s="1"/>
      <c r="G705" s="7">
        <f>COUNTIF(SheetTable02[Focal Document
Element],A705)</f>
        <v>3</v>
      </c>
      <c r="H705" s="7" t="str">
        <f>IF(A705=A704,"",_xlfn.TEXTJOIN(", ", TRUE, C705:INDEX(C:C, ROW(C705)+SheetTable02[[#This Row],[Column1]]-1)))</f>
        <v/>
      </c>
    </row>
    <row r="706" spans="1:8" ht="28.8">
      <c r="A706" s="1" t="s">
        <v>338</v>
      </c>
      <c r="B706" s="1" t="s">
        <v>340</v>
      </c>
      <c r="C706" s="1" t="s">
        <v>419</v>
      </c>
      <c r="D706" s="1"/>
      <c r="E706" s="1"/>
      <c r="F706" s="1"/>
      <c r="G706" s="7">
        <f>COUNTIF(SheetTable02[Focal Document
Element],A706)</f>
        <v>3</v>
      </c>
      <c r="H706" s="7" t="str">
        <f>IF(A706=A705,"",_xlfn.TEXTJOIN(", ", TRUE, C706:INDEX(C:C, ROW(C706)+SheetTable02[[#This Row],[Column1]]-1)))</f>
        <v/>
      </c>
    </row>
    <row r="707" spans="1:8" ht="28.8">
      <c r="A707" s="1" t="s">
        <v>342</v>
      </c>
      <c r="B707" s="1" t="s">
        <v>344</v>
      </c>
      <c r="C707" s="1" t="s">
        <v>416</v>
      </c>
      <c r="D707" s="1"/>
      <c r="E707" s="1"/>
      <c r="F707" s="1"/>
      <c r="G707" s="7">
        <f>COUNTIF(SheetTable02[Focal Document
Element],A707)</f>
        <v>3</v>
      </c>
      <c r="H707" s="7" t="str">
        <f>IF(A707=A706,"",_xlfn.TEXTJOIN(", ", TRUE, C707:INDEX(C:C, ROW(C707)+SheetTable02[[#This Row],[Column1]]-1)))</f>
        <v>IR-04, IR-05, IR-06</v>
      </c>
    </row>
    <row r="708" spans="1:8" ht="28.8">
      <c r="A708" s="1" t="s">
        <v>342</v>
      </c>
      <c r="B708" s="1" t="s">
        <v>344</v>
      </c>
      <c r="C708" s="1" t="s">
        <v>446</v>
      </c>
      <c r="D708" s="1"/>
      <c r="E708" s="1"/>
      <c r="F708" s="1"/>
      <c r="G708" s="7">
        <f>COUNTIF(SheetTable02[Focal Document
Element],A708)</f>
        <v>3</v>
      </c>
      <c r="H708" s="7" t="str">
        <f>IF(A708=A707,"",_xlfn.TEXTJOIN(", ", TRUE, C708:INDEX(C:C, ROW(C708)+SheetTable02[[#This Row],[Column1]]-1)))</f>
        <v/>
      </c>
    </row>
    <row r="709" spans="1:8" ht="28.8">
      <c r="A709" s="1" t="s">
        <v>342</v>
      </c>
      <c r="B709" s="1" t="s">
        <v>344</v>
      </c>
      <c r="C709" s="1" t="s">
        <v>419</v>
      </c>
      <c r="D709" s="1"/>
      <c r="E709" s="1"/>
      <c r="F709" s="1"/>
      <c r="G709" s="7">
        <f>COUNTIF(SheetTable02[Focal Document
Element],A709)</f>
        <v>3</v>
      </c>
      <c r="H709" s="7" t="str">
        <f>IF(A709=A708,"",_xlfn.TEXTJOIN(", ", TRUE, C709:INDEX(C:C, ROW(C709)+SheetTable02[[#This Row],[Column1]]-1)))</f>
        <v/>
      </c>
    </row>
    <row r="710" spans="1:8" ht="28.8">
      <c r="A710" s="1" t="s">
        <v>346</v>
      </c>
      <c r="B710" s="1" t="s">
        <v>348</v>
      </c>
      <c r="C710" s="1" t="s">
        <v>416</v>
      </c>
      <c r="D710" s="1"/>
      <c r="E710" s="1"/>
      <c r="F710" s="1"/>
      <c r="G710" s="7">
        <f>COUNTIF(SheetTable02[Focal Document
Element],A710)</f>
        <v>4</v>
      </c>
      <c r="H710" s="7" t="str">
        <f>IF(A710=A709,"",_xlfn.TEXTJOIN(", ", TRUE, C710:INDEX(C:C, ROW(C710)+SheetTable02[[#This Row],[Column1]]-1)))</f>
        <v>IR-04, IR-05, IR-06, IR-07</v>
      </c>
    </row>
    <row r="711" spans="1:8" ht="28.8">
      <c r="A711" s="1" t="s">
        <v>346</v>
      </c>
      <c r="B711" s="1" t="s">
        <v>348</v>
      </c>
      <c r="C711" s="1" t="s">
        <v>446</v>
      </c>
      <c r="D711" s="1"/>
      <c r="E711" s="1"/>
      <c r="F711" s="1"/>
      <c r="G711" s="7">
        <f>COUNTIF(SheetTable02[Focal Document
Element],A711)</f>
        <v>4</v>
      </c>
      <c r="H711" s="7" t="str">
        <f>IF(A711=A710,"",_xlfn.TEXTJOIN(", ", TRUE, C711:INDEX(C:C, ROW(C711)+SheetTable02[[#This Row],[Column1]]-1)))</f>
        <v/>
      </c>
    </row>
    <row r="712" spans="1:8" ht="28.8">
      <c r="A712" s="1" t="s">
        <v>346</v>
      </c>
      <c r="B712" s="1" t="s">
        <v>348</v>
      </c>
      <c r="C712" s="1" t="s">
        <v>419</v>
      </c>
      <c r="D712" s="1"/>
      <c r="E712" s="1"/>
      <c r="F712" s="1"/>
      <c r="G712" s="7">
        <f>COUNTIF(SheetTable02[Focal Document
Element],A712)</f>
        <v>4</v>
      </c>
      <c r="H712" s="7" t="str">
        <f>IF(A712=A711,"",_xlfn.TEXTJOIN(", ", TRUE, C712:INDEX(C:C, ROW(C712)+SheetTable02[[#This Row],[Column1]]-1)))</f>
        <v/>
      </c>
    </row>
    <row r="713" spans="1:8" ht="28.8">
      <c r="A713" s="1" t="s">
        <v>346</v>
      </c>
      <c r="B713" s="1" t="s">
        <v>348</v>
      </c>
      <c r="C713" s="1" t="s">
        <v>438</v>
      </c>
      <c r="D713" s="1"/>
      <c r="E713" s="1"/>
      <c r="F713" s="1"/>
      <c r="G713" s="7">
        <f>COUNTIF(SheetTable02[Focal Document
Element],A713)</f>
        <v>4</v>
      </c>
      <c r="H713" s="7" t="str">
        <f>IF(A713=A712,"",_xlfn.TEXTJOIN(", ", TRUE, C713:INDEX(C:C, ROW(C713)+SheetTable02[[#This Row],[Column1]]-1)))</f>
        <v/>
      </c>
    </row>
    <row r="714" spans="1:8" ht="28.8">
      <c r="A714" s="1" t="s">
        <v>350</v>
      </c>
      <c r="B714" s="1" t="s">
        <v>351</v>
      </c>
      <c r="C714" s="1" t="s">
        <v>416</v>
      </c>
      <c r="D714" s="1"/>
      <c r="E714" s="1"/>
      <c r="F714" s="1"/>
      <c r="G714" s="7">
        <f>COUNTIF(SheetTable02[Focal Document
Element],A714)</f>
        <v>2</v>
      </c>
      <c r="H714" s="7" t="str">
        <f>IF(A714=A713,"",_xlfn.TEXTJOIN(", ", TRUE, C714:INDEX(C:C, ROW(C714)+SheetTable02[[#This Row],[Column1]]-1)))</f>
        <v>IR-04, IR-08</v>
      </c>
    </row>
    <row r="715" spans="1:8" ht="28.8">
      <c r="A715" s="1" t="s">
        <v>350</v>
      </c>
      <c r="B715" s="1" t="s">
        <v>351</v>
      </c>
      <c r="C715" s="1" t="s">
        <v>422</v>
      </c>
      <c r="D715" s="1"/>
      <c r="E715" s="1"/>
      <c r="F715" s="1"/>
      <c r="G715" s="7">
        <f>COUNTIF(SheetTable02[Focal Document
Element],A715)</f>
        <v>2</v>
      </c>
      <c r="H715" s="7" t="str">
        <f>IF(A715=A714,"",_xlfn.TEXTJOIN(", ", TRUE, C715:INDEX(C:C, ROW(C715)+SheetTable02[[#This Row],[Column1]]-1)))</f>
        <v/>
      </c>
    </row>
    <row r="716" spans="1:8" ht="43.2">
      <c r="A716" s="1" t="s">
        <v>445</v>
      </c>
      <c r="B716" s="1" t="s">
        <v>444</v>
      </c>
      <c r="C716" s="1"/>
      <c r="D716" s="1"/>
      <c r="E716" s="1"/>
      <c r="F716" s="1"/>
      <c r="G716" s="7">
        <f>COUNTIF(SheetTable02[Focal Document
Element],A716)</f>
        <v>1</v>
      </c>
      <c r="H716" s="7" t="str">
        <f>IF(A716=A715,"",_xlfn.TEXTJOIN(", ", TRUE, C716:INDEX(C:C, ROW(C716)+SheetTable02[[#This Row],[Column1]]-1)))</f>
        <v/>
      </c>
    </row>
    <row r="717" spans="1:8" ht="43.2">
      <c r="A717" s="1" t="s">
        <v>353</v>
      </c>
      <c r="B717" s="1" t="s">
        <v>355</v>
      </c>
      <c r="C717" s="1" t="s">
        <v>443</v>
      </c>
      <c r="D717" s="1"/>
      <c r="E717" s="1"/>
      <c r="F717" s="1"/>
      <c r="G717" s="7">
        <f>COUNTIF(SheetTable02[Focal Document
Element],A717)</f>
        <v>2</v>
      </c>
      <c r="H717" s="7" t="str">
        <f>IF(A717=A716,"",_xlfn.TEXTJOIN(", ", TRUE, C717:INDEX(C:C, ROW(C717)+SheetTable02[[#This Row],[Column1]]-1)))</f>
        <v>AU-07, IR-04</v>
      </c>
    </row>
    <row r="718" spans="1:8" ht="43.2">
      <c r="A718" s="1" t="s">
        <v>353</v>
      </c>
      <c r="B718" s="1" t="s">
        <v>355</v>
      </c>
      <c r="C718" s="1" t="s">
        <v>416</v>
      </c>
      <c r="D718" s="1"/>
      <c r="E718" s="1"/>
      <c r="F718" s="1"/>
      <c r="G718" s="7">
        <f>COUNTIF(SheetTable02[Focal Document
Element],A718)</f>
        <v>2</v>
      </c>
      <c r="H718" s="7" t="str">
        <f>IF(A718=A717,"",_xlfn.TEXTJOIN(", ", TRUE, C718:INDEX(C:C, ROW(C718)+SheetTable02[[#This Row],[Column1]]-1)))</f>
        <v/>
      </c>
    </row>
    <row r="719" spans="1:8" ht="57.6">
      <c r="A719" s="1" t="s">
        <v>357</v>
      </c>
      <c r="B719" s="1" t="s">
        <v>358</v>
      </c>
      <c r="C719" s="1" t="s">
        <v>443</v>
      </c>
      <c r="D719" s="1"/>
      <c r="E719" s="1"/>
      <c r="F719" s="1"/>
      <c r="G719" s="7">
        <f>COUNTIF(SheetTable02[Focal Document
Element],A719)</f>
        <v>3</v>
      </c>
      <c r="H719" s="7" t="str">
        <f>IF(A719=A718,"",_xlfn.TEXTJOIN(", ", TRUE, C719:INDEX(C:C, ROW(C719)+SheetTable02[[#This Row],[Column1]]-1)))</f>
        <v>AU-07, IR-04, IR-06</v>
      </c>
    </row>
    <row r="720" spans="1:8" ht="57.6">
      <c r="A720" s="1" t="s">
        <v>357</v>
      </c>
      <c r="B720" s="1" t="s">
        <v>358</v>
      </c>
      <c r="C720" s="1" t="s">
        <v>416</v>
      </c>
      <c r="D720" s="1"/>
      <c r="E720" s="1"/>
      <c r="F720" s="1"/>
      <c r="G720" s="7">
        <f>COUNTIF(SheetTable02[Focal Document
Element],A720)</f>
        <v>3</v>
      </c>
      <c r="H720" s="7" t="str">
        <f>IF(A720=A719,"",_xlfn.TEXTJOIN(", ", TRUE, C720:INDEX(C:C, ROW(C720)+SheetTable02[[#This Row],[Column1]]-1)))</f>
        <v/>
      </c>
    </row>
    <row r="721" spans="1:8" ht="57.6">
      <c r="A721" s="1" t="s">
        <v>357</v>
      </c>
      <c r="B721" s="1" t="s">
        <v>358</v>
      </c>
      <c r="C721" s="1" t="s">
        <v>419</v>
      </c>
      <c r="D721" s="1"/>
      <c r="E721" s="1"/>
      <c r="F721" s="1"/>
      <c r="G721" s="7">
        <f>COUNTIF(SheetTable02[Focal Document
Element],A721)</f>
        <v>3</v>
      </c>
      <c r="H721" s="7" t="str">
        <f>IF(A721=A720,"",_xlfn.TEXTJOIN(", ", TRUE, C721:INDEX(C:C, ROW(C721)+SheetTable02[[#This Row],[Column1]]-1)))</f>
        <v/>
      </c>
    </row>
    <row r="722" spans="1:8" ht="43.2">
      <c r="A722" s="1" t="s">
        <v>360</v>
      </c>
      <c r="B722" s="1" t="s">
        <v>361</v>
      </c>
      <c r="C722" s="1" t="s">
        <v>443</v>
      </c>
      <c r="D722" s="1"/>
      <c r="E722" s="1"/>
      <c r="F722" s="1"/>
      <c r="G722" s="7">
        <f>COUNTIF(SheetTable02[Focal Document
Element],A722)</f>
        <v>3</v>
      </c>
      <c r="H722" s="7" t="str">
        <f>IF(A722=A721,"",_xlfn.TEXTJOIN(", ", TRUE, C722:INDEX(C:C, ROW(C722)+SheetTable02[[#This Row],[Column1]]-1)))</f>
        <v>AU-07, IR-04, IR-06</v>
      </c>
    </row>
    <row r="723" spans="1:8" ht="43.2">
      <c r="A723" s="1" t="s">
        <v>360</v>
      </c>
      <c r="B723" s="1" t="s">
        <v>361</v>
      </c>
      <c r="C723" s="1" t="s">
        <v>416</v>
      </c>
      <c r="D723" s="1"/>
      <c r="E723" s="1"/>
      <c r="F723" s="1"/>
      <c r="G723" s="7">
        <f>COUNTIF(SheetTable02[Focal Document
Element],A723)</f>
        <v>3</v>
      </c>
      <c r="H723" s="7" t="str">
        <f>IF(A723=A722,"",_xlfn.TEXTJOIN(", ", TRUE, C723:INDEX(C:C, ROW(C723)+SheetTable02[[#This Row],[Column1]]-1)))</f>
        <v/>
      </c>
    </row>
    <row r="724" spans="1:8" ht="43.2">
      <c r="A724" s="1" t="s">
        <v>360</v>
      </c>
      <c r="B724" s="1" t="s">
        <v>361</v>
      </c>
      <c r="C724" s="1" t="s">
        <v>419</v>
      </c>
      <c r="D724" s="1"/>
      <c r="E724" s="1"/>
      <c r="F724" s="1"/>
      <c r="G724" s="7">
        <f>COUNTIF(SheetTable02[Focal Document
Element],A724)</f>
        <v>3</v>
      </c>
      <c r="H724" s="7" t="str">
        <f>IF(A724=A723,"",_xlfn.TEXTJOIN(", ", TRUE, C724:INDEX(C:C, ROW(C724)+SheetTable02[[#This Row],[Column1]]-1)))</f>
        <v/>
      </c>
    </row>
    <row r="725" spans="1:8" ht="28.8">
      <c r="A725" s="1" t="s">
        <v>363</v>
      </c>
      <c r="B725" s="1" t="s">
        <v>364</v>
      </c>
      <c r="C725" s="1" t="s">
        <v>416</v>
      </c>
      <c r="D725" s="1"/>
      <c r="E725" s="1"/>
      <c r="F725" s="1"/>
      <c r="G725" s="7">
        <f>COUNTIF(SheetTable02[Focal Document
Element],A725)</f>
        <v>4</v>
      </c>
      <c r="H725" s="7" t="str">
        <f>IF(A725=A724,"",_xlfn.TEXTJOIN(", ", TRUE, C725:INDEX(C:C, ROW(C725)+SheetTable02[[#This Row],[Column1]]-1)))</f>
        <v>IR-04, IR-08, RA-03, RA-07</v>
      </c>
    </row>
    <row r="726" spans="1:8" ht="28.8">
      <c r="A726" s="1" t="s">
        <v>363</v>
      </c>
      <c r="B726" s="1" t="s">
        <v>364</v>
      </c>
      <c r="C726" s="1" t="s">
        <v>422</v>
      </c>
      <c r="D726" s="1"/>
      <c r="E726" s="1"/>
      <c r="F726" s="1"/>
      <c r="G726" s="7">
        <f>COUNTIF(SheetTable02[Focal Document
Element],A726)</f>
        <v>4</v>
      </c>
      <c r="H726" s="7" t="str">
        <f>IF(A726=A725,"",_xlfn.TEXTJOIN(", ", TRUE, C726:INDEX(C:C, ROW(C726)+SheetTable02[[#This Row],[Column1]]-1)))</f>
        <v/>
      </c>
    </row>
    <row r="727" spans="1:8" ht="28.8">
      <c r="A727" s="1" t="s">
        <v>363</v>
      </c>
      <c r="B727" s="1" t="s">
        <v>364</v>
      </c>
      <c r="C727" s="1" t="s">
        <v>442</v>
      </c>
      <c r="D727" s="1"/>
      <c r="E727" s="1"/>
      <c r="F727" s="1"/>
      <c r="G727" s="7">
        <f>COUNTIF(SheetTable02[Focal Document
Element],A727)</f>
        <v>4</v>
      </c>
      <c r="H727" s="7" t="str">
        <f>IF(A727=A726,"",_xlfn.TEXTJOIN(", ", TRUE, C727:INDEX(C:C, ROW(C727)+SheetTable02[[#This Row],[Column1]]-1)))</f>
        <v/>
      </c>
    </row>
    <row r="728" spans="1:8" ht="28.8">
      <c r="A728" s="1" t="s">
        <v>363</v>
      </c>
      <c r="B728" s="1" t="s">
        <v>364</v>
      </c>
      <c r="C728" s="1" t="s">
        <v>441</v>
      </c>
      <c r="D728" s="1"/>
      <c r="E728" s="1"/>
      <c r="F728" s="1"/>
      <c r="G728" s="7">
        <f>COUNTIF(SheetTable02[Focal Document
Element],A728)</f>
        <v>4</v>
      </c>
      <c r="H728" s="7" t="str">
        <f>IF(A728=A727,"",_xlfn.TEXTJOIN(", ", TRUE, C728:INDEX(C:C, ROW(C728)+SheetTable02[[#This Row],[Column1]]-1)))</f>
        <v/>
      </c>
    </row>
    <row r="729" spans="1:8" ht="57.6">
      <c r="A729" s="1" t="s">
        <v>440</v>
      </c>
      <c r="B729" s="1" t="s">
        <v>439</v>
      </c>
      <c r="C729" s="1"/>
      <c r="D729" s="1"/>
      <c r="E729" s="1"/>
      <c r="F729" s="1"/>
      <c r="G729" s="7">
        <f>COUNTIF(SheetTable02[Focal Document
Element],A729)</f>
        <v>1</v>
      </c>
      <c r="H729" s="7" t="str">
        <f>IF(A729=A728,"",_xlfn.TEXTJOIN(", ", TRUE, C729:INDEX(C:C, ROW(C729)+SheetTable02[[#This Row],[Column1]]-1)))</f>
        <v/>
      </c>
    </row>
    <row r="730" spans="1:8" ht="28.8">
      <c r="A730" s="1" t="s">
        <v>366</v>
      </c>
      <c r="B730" s="1" t="s">
        <v>368</v>
      </c>
      <c r="C730" s="1" t="s">
        <v>416</v>
      </c>
      <c r="D730" s="1"/>
      <c r="E730" s="1"/>
      <c r="F730" s="1"/>
      <c r="G730" s="7">
        <f>COUNTIF(SheetTable02[Focal Document
Element],A730)</f>
        <v>5</v>
      </c>
      <c r="H730" s="7" t="str">
        <f>IF(A730=A729,"",_xlfn.TEXTJOIN(", ", TRUE, C730:INDEX(C:C, ROW(C730)+SheetTable02[[#This Row],[Column1]]-1)))</f>
        <v>IR-04, IR-06, IR-07, SR-03, SR-08</v>
      </c>
    </row>
    <row r="731" spans="1:8" ht="28.8">
      <c r="A731" s="1" t="s">
        <v>366</v>
      </c>
      <c r="B731" s="1" t="s">
        <v>368</v>
      </c>
      <c r="C731" s="1" t="s">
        <v>419</v>
      </c>
      <c r="D731" s="1"/>
      <c r="E731" s="1"/>
      <c r="F731" s="1"/>
      <c r="G731" s="7">
        <f>COUNTIF(SheetTable02[Focal Document
Element],A731)</f>
        <v>5</v>
      </c>
      <c r="H731" s="7" t="str">
        <f>IF(A731=A730,"",_xlfn.TEXTJOIN(", ", TRUE, C731:INDEX(C:C, ROW(C731)+SheetTable02[[#This Row],[Column1]]-1)))</f>
        <v/>
      </c>
    </row>
    <row r="732" spans="1:8" ht="28.8">
      <c r="A732" s="1" t="s">
        <v>366</v>
      </c>
      <c r="B732" s="1" t="s">
        <v>368</v>
      </c>
      <c r="C732" s="1" t="s">
        <v>438</v>
      </c>
      <c r="D732" s="1"/>
      <c r="E732" s="1"/>
      <c r="F732" s="1"/>
      <c r="G732" s="7">
        <f>COUNTIF(SheetTable02[Focal Document
Element],A732)</f>
        <v>5</v>
      </c>
      <c r="H732" s="7" t="str">
        <f>IF(A732=A731,"",_xlfn.TEXTJOIN(", ", TRUE, C732:INDEX(C:C, ROW(C732)+SheetTable02[[#This Row],[Column1]]-1)))</f>
        <v/>
      </c>
    </row>
    <row r="733" spans="1:8" ht="28.8">
      <c r="A733" s="1" t="s">
        <v>366</v>
      </c>
      <c r="B733" s="1" t="s">
        <v>368</v>
      </c>
      <c r="C733" s="1" t="s">
        <v>437</v>
      </c>
      <c r="D733" s="1"/>
      <c r="E733" s="1"/>
      <c r="F733" s="1"/>
      <c r="G733" s="7">
        <f>COUNTIF(SheetTable02[Focal Document
Element],A733)</f>
        <v>5</v>
      </c>
      <c r="H733" s="7" t="str">
        <f>IF(A733=A732,"",_xlfn.TEXTJOIN(", ", TRUE, C733:INDEX(C:C, ROW(C733)+SheetTable02[[#This Row],[Column1]]-1)))</f>
        <v/>
      </c>
    </row>
    <row r="734" spans="1:8" ht="28.8">
      <c r="A734" s="1" t="s">
        <v>366</v>
      </c>
      <c r="B734" s="1" t="s">
        <v>368</v>
      </c>
      <c r="C734" s="1" t="s">
        <v>418</v>
      </c>
      <c r="D734" s="1"/>
      <c r="E734" s="1"/>
      <c r="F734" s="1"/>
      <c r="G734" s="7">
        <f>COUNTIF(SheetTable02[Focal Document
Element],A734)</f>
        <v>5</v>
      </c>
      <c r="H734" s="7" t="str">
        <f>IF(A734=A733,"",_xlfn.TEXTJOIN(", ", TRUE, C734:INDEX(C:C, ROW(C734)+SheetTable02[[#This Row],[Column1]]-1)))</f>
        <v/>
      </c>
    </row>
    <row r="735" spans="1:8" ht="28.8">
      <c r="A735" s="1" t="s">
        <v>370</v>
      </c>
      <c r="B735" s="1" t="s">
        <v>372</v>
      </c>
      <c r="C735" s="1" t="s">
        <v>416</v>
      </c>
      <c r="D735" s="1"/>
      <c r="E735" s="1"/>
      <c r="F735" s="1"/>
      <c r="G735" s="7">
        <f>COUNTIF(SheetTable02[Focal Document
Element],A735)</f>
        <v>5</v>
      </c>
      <c r="H735" s="7" t="str">
        <f>IF(A735=A734,"",_xlfn.TEXTJOIN(", ", TRUE, C735:INDEX(C:C, ROW(C735)+SheetTable02[[#This Row],[Column1]]-1)))</f>
        <v>IR-04, IR-06, IR-07, SR-03, SR-08</v>
      </c>
    </row>
    <row r="736" spans="1:8" ht="28.8">
      <c r="A736" s="1" t="s">
        <v>370</v>
      </c>
      <c r="B736" s="1" t="s">
        <v>372</v>
      </c>
      <c r="C736" s="1" t="s">
        <v>419</v>
      </c>
      <c r="D736" s="1"/>
      <c r="E736" s="1"/>
      <c r="F736" s="1"/>
      <c r="G736" s="7">
        <f>COUNTIF(SheetTable02[Focal Document
Element],A736)</f>
        <v>5</v>
      </c>
      <c r="H736" s="7" t="str">
        <f>IF(A736=A735,"",_xlfn.TEXTJOIN(", ", TRUE, C736:INDEX(C:C, ROW(C736)+SheetTable02[[#This Row],[Column1]]-1)))</f>
        <v/>
      </c>
    </row>
    <row r="737" spans="1:8" ht="28.8">
      <c r="A737" s="1" t="s">
        <v>370</v>
      </c>
      <c r="B737" s="1" t="s">
        <v>372</v>
      </c>
      <c r="C737" s="1" t="s">
        <v>438</v>
      </c>
      <c r="D737" s="1"/>
      <c r="E737" s="1"/>
      <c r="F737" s="1"/>
      <c r="G737" s="7">
        <f>COUNTIF(SheetTable02[Focal Document
Element],A737)</f>
        <v>5</v>
      </c>
      <c r="H737" s="7" t="str">
        <f>IF(A737=A736,"",_xlfn.TEXTJOIN(", ", TRUE, C737:INDEX(C:C, ROW(C737)+SheetTable02[[#This Row],[Column1]]-1)))</f>
        <v/>
      </c>
    </row>
    <row r="738" spans="1:8" ht="28.8">
      <c r="A738" s="1" t="s">
        <v>370</v>
      </c>
      <c r="B738" s="1" t="s">
        <v>372</v>
      </c>
      <c r="C738" s="1" t="s">
        <v>437</v>
      </c>
      <c r="D738" s="1"/>
      <c r="E738" s="1"/>
      <c r="F738" s="1"/>
      <c r="G738" s="7">
        <f>COUNTIF(SheetTable02[Focal Document
Element],A738)</f>
        <v>5</v>
      </c>
      <c r="H738" s="7" t="str">
        <f>IF(A738=A737,"",_xlfn.TEXTJOIN(", ", TRUE, C738:INDEX(C:C, ROW(C738)+SheetTable02[[#This Row],[Column1]]-1)))</f>
        <v/>
      </c>
    </row>
    <row r="739" spans="1:8" ht="28.8">
      <c r="A739" s="1" t="s">
        <v>370</v>
      </c>
      <c r="B739" s="1" t="s">
        <v>372</v>
      </c>
      <c r="C739" s="1" t="s">
        <v>418</v>
      </c>
      <c r="D739" s="1"/>
      <c r="E739" s="1"/>
      <c r="F739" s="1"/>
      <c r="G739" s="7">
        <f>COUNTIF(SheetTable02[Focal Document
Element],A739)</f>
        <v>5</v>
      </c>
      <c r="H739" s="7" t="str">
        <f>IF(A739=A738,"",_xlfn.TEXTJOIN(", ", TRUE, C739:INDEX(C:C, ROW(C739)+SheetTable02[[#This Row],[Column1]]-1)))</f>
        <v/>
      </c>
    </row>
    <row r="740" spans="1:8" ht="43.2">
      <c r="A740" s="1" t="s">
        <v>436</v>
      </c>
      <c r="B740" s="1" t="s">
        <v>435</v>
      </c>
      <c r="C740" s="1"/>
      <c r="D740" s="1"/>
      <c r="E740" s="1"/>
      <c r="F740" s="1"/>
      <c r="G740" s="7">
        <f>COUNTIF(SheetTable02[Focal Document
Element],A740)</f>
        <v>1</v>
      </c>
      <c r="H740" s="7" t="str">
        <f>IF(A740=A739,"",_xlfn.TEXTJOIN(", ", TRUE, C740:INDEX(C:C, ROW(C740)+SheetTable02[[#This Row],[Column1]]-1)))</f>
        <v/>
      </c>
    </row>
    <row r="741" spans="1:8">
      <c r="A741" s="1" t="s">
        <v>374</v>
      </c>
      <c r="B741" s="1" t="s">
        <v>376</v>
      </c>
      <c r="C741" s="1" t="s">
        <v>416</v>
      </c>
      <c r="D741" s="1"/>
      <c r="E741" s="1"/>
      <c r="F741" s="1"/>
      <c r="G741" s="7">
        <f>COUNTIF(SheetTable02[Focal Document
Element],A741)</f>
        <v>1</v>
      </c>
      <c r="H741" s="7" t="str">
        <f>IF(A741=A740,"",_xlfn.TEXTJOIN(", ", TRUE, C741:INDEX(C:C, ROW(C741)+SheetTable02[[#This Row],[Column1]]-1)))</f>
        <v>IR-04</v>
      </c>
    </row>
    <row r="742" spans="1:8">
      <c r="A742" s="1" t="s">
        <v>378</v>
      </c>
      <c r="B742" s="1" t="s">
        <v>380</v>
      </c>
      <c r="C742" s="1" t="s">
        <v>416</v>
      </c>
      <c r="D742" s="1"/>
      <c r="E742" s="1"/>
      <c r="F742" s="1"/>
      <c r="G742" s="7">
        <f>COUNTIF(SheetTable02[Focal Document
Element],A742)</f>
        <v>1</v>
      </c>
      <c r="H742" s="7" t="str">
        <f>IF(A742=A741,"",_xlfn.TEXTJOIN(", ", TRUE, C742:INDEX(C:C, ROW(C742)+SheetTable02[[#This Row],[Column1]]-1)))</f>
        <v>IR-04</v>
      </c>
    </row>
    <row r="743" spans="1:8" ht="28.8">
      <c r="A743" s="1" t="s">
        <v>434</v>
      </c>
      <c r="B743" s="1" t="s">
        <v>433</v>
      </c>
      <c r="C743" s="1"/>
      <c r="D743" s="1"/>
      <c r="E743" s="1"/>
      <c r="F743" s="1"/>
      <c r="G743" s="7">
        <f>COUNTIF(SheetTable02[Focal Document
Element],A743)</f>
        <v>1</v>
      </c>
      <c r="H743" s="7" t="str">
        <f>IF(A743=A742,"",_xlfn.TEXTJOIN(", ", TRUE, C743:INDEX(C:C, ROW(C743)+SheetTable02[[#This Row],[Column1]]-1)))</f>
        <v/>
      </c>
    </row>
    <row r="744" spans="1:8" ht="57.6">
      <c r="A744" s="1" t="s">
        <v>431</v>
      </c>
      <c r="B744" s="1" t="s">
        <v>430</v>
      </c>
      <c r="C744" s="1" t="s">
        <v>432</v>
      </c>
      <c r="D744" s="1"/>
      <c r="E744" s="1"/>
      <c r="F744" s="1"/>
      <c r="G744" s="7">
        <f>COUNTIF(SheetTable02[Focal Document
Element],A744)</f>
        <v>2</v>
      </c>
      <c r="H744" s="7" t="str">
        <f>IF(A744=A743,"",_xlfn.TEXTJOIN(", ", TRUE, C744:INDEX(C:C, ROW(C744)+SheetTable02[[#This Row],[Column1]]-1)))</f>
        <v>CP-04
, CP-10</v>
      </c>
    </row>
    <row r="745" spans="1:8" ht="57.6">
      <c r="A745" s="1" t="s">
        <v>431</v>
      </c>
      <c r="B745" s="1" t="s">
        <v>430</v>
      </c>
      <c r="C745" s="1" t="s">
        <v>423</v>
      </c>
      <c r="D745" s="1"/>
      <c r="E745" s="1"/>
      <c r="F745" s="1"/>
      <c r="G745" s="7">
        <f>COUNTIF(SheetTable02[Focal Document
Element],A745)</f>
        <v>2</v>
      </c>
      <c r="H745" s="7" t="str">
        <f>IF(A745=A744,"",_xlfn.TEXTJOIN(", ", TRUE, C745:INDEX(C:C, ROW(C745)+SheetTable02[[#This Row],[Column1]]-1)))</f>
        <v/>
      </c>
    </row>
    <row r="746" spans="1:8" ht="43.2">
      <c r="A746" s="1" t="s">
        <v>382</v>
      </c>
      <c r="B746" s="1" t="s">
        <v>384</v>
      </c>
      <c r="C746" s="1" t="s">
        <v>423</v>
      </c>
      <c r="D746" s="1"/>
      <c r="E746" s="1"/>
      <c r="F746" s="1"/>
      <c r="G746" s="7">
        <f>COUNTIF(SheetTable02[Focal Document
Element],A746)</f>
        <v>3</v>
      </c>
      <c r="H746" s="7" t="str">
        <f>IF(A746=A745,"",_xlfn.TEXTJOIN(", ", TRUE, C746:INDEX(C:C, ROW(C746)+SheetTable02[[#This Row],[Column1]]-1)))</f>
        <v>CP-10, IR-04, IR-08</v>
      </c>
    </row>
    <row r="747" spans="1:8" ht="43.2">
      <c r="A747" s="1" t="s">
        <v>382</v>
      </c>
      <c r="B747" s="1" t="s">
        <v>384</v>
      </c>
      <c r="C747" s="1" t="s">
        <v>416</v>
      </c>
      <c r="D747" s="1"/>
      <c r="E747" s="1"/>
      <c r="F747" s="1"/>
      <c r="G747" s="7">
        <f>COUNTIF(SheetTable02[Focal Document
Element],A747)</f>
        <v>3</v>
      </c>
      <c r="H747" s="7" t="str">
        <f>IF(A747=A746,"",_xlfn.TEXTJOIN(", ", TRUE, C747:INDEX(C:C, ROW(C747)+SheetTable02[[#This Row],[Column1]]-1)))</f>
        <v/>
      </c>
    </row>
    <row r="748" spans="1:8" ht="43.2">
      <c r="A748" s="1" t="s">
        <v>382</v>
      </c>
      <c r="B748" s="1" t="s">
        <v>384</v>
      </c>
      <c r="C748" s="1" t="s">
        <v>422</v>
      </c>
      <c r="D748" s="1"/>
      <c r="E748" s="1"/>
      <c r="F748" s="1"/>
      <c r="G748" s="7">
        <f>COUNTIF(SheetTable02[Focal Document
Element],A748)</f>
        <v>3</v>
      </c>
      <c r="H748" s="7" t="str">
        <f>IF(A748=A747,"",_xlfn.TEXTJOIN(", ", TRUE, C748:INDEX(C:C, ROW(C748)+SheetTable02[[#This Row],[Column1]]-1)))</f>
        <v/>
      </c>
    </row>
    <row r="749" spans="1:8" ht="28.8">
      <c r="A749" s="1" t="s">
        <v>386</v>
      </c>
      <c r="B749" s="1" t="s">
        <v>387</v>
      </c>
      <c r="C749" s="1" t="s">
        <v>423</v>
      </c>
      <c r="D749" s="1"/>
      <c r="E749" s="1"/>
      <c r="F749" s="1"/>
      <c r="G749" s="7">
        <f>COUNTIF(SheetTable02[Focal Document
Element],A749)</f>
        <v>3</v>
      </c>
      <c r="H749" s="7" t="str">
        <f>IF(A749=A748,"",_xlfn.TEXTJOIN(", ", TRUE, C749:INDEX(C:C, ROW(C749)+SheetTable02[[#This Row],[Column1]]-1)))</f>
        <v>CP-10, IR-04, IR-08</v>
      </c>
    </row>
    <row r="750" spans="1:8" ht="28.8">
      <c r="A750" s="1" t="s">
        <v>386</v>
      </c>
      <c r="B750" s="1" t="s">
        <v>387</v>
      </c>
      <c r="C750" s="1" t="s">
        <v>416</v>
      </c>
      <c r="D750" s="1"/>
      <c r="E750" s="1"/>
      <c r="F750" s="1"/>
      <c r="G750" s="7">
        <f>COUNTIF(SheetTable02[Focal Document
Element],A750)</f>
        <v>3</v>
      </c>
      <c r="H750" s="7" t="str">
        <f>IF(A750=A749,"",_xlfn.TEXTJOIN(", ", TRUE, C750:INDEX(C:C, ROW(C750)+SheetTable02[[#This Row],[Column1]]-1)))</f>
        <v/>
      </c>
    </row>
    <row r="751" spans="1:8" ht="28.8">
      <c r="A751" s="1" t="s">
        <v>386</v>
      </c>
      <c r="B751" s="1" t="s">
        <v>387</v>
      </c>
      <c r="C751" s="1" t="s">
        <v>422</v>
      </c>
      <c r="D751" s="1"/>
      <c r="E751" s="1"/>
      <c r="F751" s="1"/>
      <c r="G751" s="7">
        <f>COUNTIF(SheetTable02[Focal Document
Element],A751)</f>
        <v>3</v>
      </c>
      <c r="H751" s="7" t="str">
        <f>IF(A751=A750,"",_xlfn.TEXTJOIN(", ", TRUE, C751:INDEX(C:C, ROW(C751)+SheetTable02[[#This Row],[Column1]]-1)))</f>
        <v/>
      </c>
    </row>
    <row r="752" spans="1:8" ht="43.2">
      <c r="A752" s="1" t="s">
        <v>389</v>
      </c>
      <c r="B752" s="1" t="s">
        <v>390</v>
      </c>
      <c r="C752" s="1" t="s">
        <v>417</v>
      </c>
      <c r="D752" s="1"/>
      <c r="E752" s="1"/>
      <c r="F752" s="1"/>
      <c r="G752" s="7">
        <f>COUNTIF(SheetTable02[Focal Document
Element],A752)</f>
        <v>3</v>
      </c>
      <c r="H752" s="7" t="str">
        <f>IF(A752=A751,"",_xlfn.TEXTJOIN(", ", TRUE, C752:INDEX(C:C, ROW(C752)+SheetTable02[[#This Row],[Column1]]-1)))</f>
        <v>CP-02, CP-04, CP-09</v>
      </c>
    </row>
    <row r="753" spans="1:8" ht="43.2">
      <c r="A753" s="1" t="s">
        <v>389</v>
      </c>
      <c r="B753" s="1" t="s">
        <v>390</v>
      </c>
      <c r="C753" s="1" t="s">
        <v>429</v>
      </c>
      <c r="D753" s="1"/>
      <c r="E753" s="1"/>
      <c r="F753" s="1"/>
      <c r="G753" s="7">
        <f>COUNTIF(SheetTable02[Focal Document
Element],A753)</f>
        <v>3</v>
      </c>
      <c r="H753" s="7" t="str">
        <f>IF(A753=A752,"",_xlfn.TEXTJOIN(", ", TRUE, C753:INDEX(C:C, ROW(C753)+SheetTable02[[#This Row],[Column1]]-1)))</f>
        <v/>
      </c>
    </row>
    <row r="754" spans="1:8" ht="43.2">
      <c r="A754" s="1" t="s">
        <v>389</v>
      </c>
      <c r="B754" s="1" t="s">
        <v>390</v>
      </c>
      <c r="C754" s="1" t="s">
        <v>428</v>
      </c>
      <c r="D754" s="1"/>
      <c r="E754" s="1"/>
      <c r="F754" s="1"/>
      <c r="G754" s="7">
        <f>COUNTIF(SheetTable02[Focal Document
Element],A754)</f>
        <v>3</v>
      </c>
      <c r="H754" s="7" t="str">
        <f>IF(A754=A753,"",_xlfn.TEXTJOIN(", ", TRUE, C754:INDEX(C:C, ROW(C754)+SheetTable02[[#This Row],[Column1]]-1)))</f>
        <v/>
      </c>
    </row>
    <row r="755" spans="1:8" ht="57.6">
      <c r="A755" s="1" t="s">
        <v>392</v>
      </c>
      <c r="B755" s="1" t="s">
        <v>393</v>
      </c>
      <c r="C755" s="1" t="s">
        <v>427</v>
      </c>
      <c r="D755" s="1"/>
      <c r="E755" s="1"/>
      <c r="F755" s="1"/>
      <c r="G755" s="7">
        <f>COUNTIF(SheetTable02[Focal Document
Element],A755)</f>
        <v>5</v>
      </c>
      <c r="H755" s="7" t="str">
        <f>IF(A755=A754,"",_xlfn.TEXTJOIN(", ", TRUE, C755:INDEX(C:C, ROW(C755)+SheetTable02[[#This Row],[Column1]]-1)))</f>
        <v>PM-08, PM-09, PM-11, IR-01, IR-08</v>
      </c>
    </row>
    <row r="756" spans="1:8" ht="57.6">
      <c r="A756" s="1" t="s">
        <v>392</v>
      </c>
      <c r="B756" s="1" t="s">
        <v>393</v>
      </c>
      <c r="C756" s="1" t="s">
        <v>426</v>
      </c>
      <c r="D756" s="1"/>
      <c r="E756" s="1"/>
      <c r="F756" s="1"/>
      <c r="G756" s="7">
        <f>COUNTIF(SheetTable02[Focal Document
Element],A756)</f>
        <v>5</v>
      </c>
      <c r="H756" s="7" t="str">
        <f>IF(A756=A755,"",_xlfn.TEXTJOIN(", ", TRUE, C756:INDEX(C:C, ROW(C756)+SheetTable02[[#This Row],[Column1]]-1)))</f>
        <v/>
      </c>
    </row>
    <row r="757" spans="1:8" ht="57.6">
      <c r="A757" s="1" t="s">
        <v>392</v>
      </c>
      <c r="B757" s="1" t="s">
        <v>393</v>
      </c>
      <c r="C757" s="1" t="s">
        <v>425</v>
      </c>
      <c r="D757" s="1"/>
      <c r="E757" s="1"/>
      <c r="F757" s="1"/>
      <c r="G757" s="7">
        <f>COUNTIF(SheetTable02[Focal Document
Element],A757)</f>
        <v>5</v>
      </c>
      <c r="H757" s="7" t="str">
        <f>IF(A757=A756,"",_xlfn.TEXTJOIN(", ", TRUE, C757:INDEX(C:C, ROW(C757)+SheetTable02[[#This Row],[Column1]]-1)))</f>
        <v/>
      </c>
    </row>
    <row r="758" spans="1:8" ht="57.6">
      <c r="A758" s="1" t="s">
        <v>392</v>
      </c>
      <c r="B758" s="1" t="s">
        <v>393</v>
      </c>
      <c r="C758" s="1" t="s">
        <v>424</v>
      </c>
      <c r="D758" s="1"/>
      <c r="E758" s="1"/>
      <c r="F758" s="1"/>
      <c r="G758" s="7">
        <f>COUNTIF(SheetTable02[Focal Document
Element],A758)</f>
        <v>5</v>
      </c>
      <c r="H758" s="7" t="str">
        <f>IF(A758=A757,"",_xlfn.TEXTJOIN(", ", TRUE, C758:INDEX(C:C, ROW(C758)+SheetTable02[[#This Row],[Column1]]-1)))</f>
        <v/>
      </c>
    </row>
    <row r="759" spans="1:8" ht="57.6">
      <c r="A759" s="1" t="s">
        <v>392</v>
      </c>
      <c r="B759" s="1" t="s">
        <v>393</v>
      </c>
      <c r="C759" s="1" t="s">
        <v>422</v>
      </c>
      <c r="D759" s="1"/>
      <c r="E759" s="1"/>
      <c r="F759" s="1"/>
      <c r="G759" s="7">
        <f>COUNTIF(SheetTable02[Focal Document
Element],A759)</f>
        <v>5</v>
      </c>
      <c r="H759" s="7" t="str">
        <f>IF(A759=A758,"",_xlfn.TEXTJOIN(", ", TRUE, C759:INDEX(C:C, ROW(C759)+SheetTable02[[#This Row],[Column1]]-1)))</f>
        <v/>
      </c>
    </row>
    <row r="760" spans="1:8" ht="57.6">
      <c r="A760" s="1" t="s">
        <v>395</v>
      </c>
      <c r="B760" s="1" t="s">
        <v>396</v>
      </c>
      <c r="C760" s="1" t="s">
        <v>423</v>
      </c>
      <c r="D760" s="1"/>
      <c r="E760" s="1"/>
      <c r="F760" s="1"/>
      <c r="G760" s="7">
        <f>COUNTIF(SheetTable02[Focal Document
Element],A760)</f>
        <v>1</v>
      </c>
      <c r="H760" s="7" t="str">
        <f>IF(A760=A759,"",_xlfn.TEXTJOIN(", ", TRUE, C760:INDEX(C:C, ROW(C760)+SheetTable02[[#This Row],[Column1]]-1)))</f>
        <v>CP-10</v>
      </c>
    </row>
    <row r="761" spans="1:8" ht="43.2">
      <c r="A761" s="1" t="s">
        <v>398</v>
      </c>
      <c r="B761" s="1" t="s">
        <v>399</v>
      </c>
      <c r="C761" s="1" t="s">
        <v>416</v>
      </c>
      <c r="D761" s="1"/>
      <c r="E761" s="1"/>
      <c r="F761" s="1"/>
      <c r="G761" s="7">
        <f>COUNTIF(SheetTable02[Focal Document
Element],A761)</f>
        <v>2</v>
      </c>
      <c r="H761" s="7" t="str">
        <f>IF(A761=A760,"",_xlfn.TEXTJOIN(", ", TRUE, C761:INDEX(C:C, ROW(C761)+SheetTable02[[#This Row],[Column1]]-1)))</f>
        <v>IR-04, IR-08</v>
      </c>
    </row>
    <row r="762" spans="1:8" ht="43.2">
      <c r="A762" s="1" t="s">
        <v>398</v>
      </c>
      <c r="B762" s="1" t="s">
        <v>399</v>
      </c>
      <c r="C762" s="1" t="s">
        <v>422</v>
      </c>
      <c r="D762" s="1"/>
      <c r="E762" s="1"/>
      <c r="F762" s="1"/>
      <c r="G762" s="7">
        <f>COUNTIF(SheetTable02[Focal Document
Element],A762)</f>
        <v>2</v>
      </c>
      <c r="H762" s="7" t="str">
        <f>IF(A762=A761,"",_xlfn.TEXTJOIN(", ", TRUE, C762:INDEX(C:C, ROW(C762)+SheetTable02[[#This Row],[Column1]]-1)))</f>
        <v/>
      </c>
    </row>
    <row r="763" spans="1:8" ht="28.8">
      <c r="A763" s="1" t="s">
        <v>421</v>
      </c>
      <c r="B763" s="1" t="s">
        <v>420</v>
      </c>
      <c r="C763" s="1"/>
      <c r="D763" s="1"/>
      <c r="E763" s="1"/>
      <c r="F763" s="1"/>
      <c r="G763" s="7">
        <f>COUNTIF(SheetTable02[Focal Document
Element],A763)</f>
        <v>1</v>
      </c>
      <c r="H763" s="7" t="str">
        <f>IF(A763=A762,"",_xlfn.TEXTJOIN(", ", TRUE, C763:INDEX(C:C, ROW(C763)+SheetTable02[[#This Row],[Column1]]-1)))</f>
        <v/>
      </c>
    </row>
    <row r="764" spans="1:8" ht="57.6">
      <c r="A764" s="1" t="s">
        <v>401</v>
      </c>
      <c r="B764" s="1" t="s">
        <v>403</v>
      </c>
      <c r="C764" s="1" t="s">
        <v>416</v>
      </c>
      <c r="D764" s="1"/>
      <c r="E764" s="1"/>
      <c r="F764" s="1"/>
      <c r="G764" s="7">
        <f>COUNTIF(SheetTable02[Focal Document
Element],A764)</f>
        <v>3</v>
      </c>
      <c r="H764" s="7" t="str">
        <f>IF(A764=A763,"",_xlfn.TEXTJOIN(", ", TRUE, C764:INDEX(C:C, ROW(C764)+SheetTable02[[#This Row],[Column1]]-1)))</f>
        <v>IR-04, IR-06, SR-08</v>
      </c>
    </row>
    <row r="765" spans="1:8" ht="57.6">
      <c r="A765" s="1" t="s">
        <v>401</v>
      </c>
      <c r="B765" s="1" t="s">
        <v>403</v>
      </c>
      <c r="C765" s="1" t="s">
        <v>419</v>
      </c>
      <c r="D765" s="1"/>
      <c r="E765" s="1"/>
      <c r="F765" s="1"/>
      <c r="G765" s="7">
        <f>COUNTIF(SheetTable02[Focal Document
Element],A765)</f>
        <v>3</v>
      </c>
      <c r="H765" s="7" t="str">
        <f>IF(A765=A764,"",_xlfn.TEXTJOIN(", ", TRUE, C765:INDEX(C:C, ROW(C765)+SheetTable02[[#This Row],[Column1]]-1)))</f>
        <v/>
      </c>
    </row>
    <row r="766" spans="1:8" ht="57.6">
      <c r="A766" s="1" t="s">
        <v>401</v>
      </c>
      <c r="B766" s="1" t="s">
        <v>403</v>
      </c>
      <c r="C766" s="1" t="s">
        <v>418</v>
      </c>
      <c r="D766" s="1"/>
      <c r="E766" s="1"/>
      <c r="F766" s="1"/>
      <c r="G766" s="7">
        <f>COUNTIF(SheetTable02[Focal Document
Element],A766)</f>
        <v>3</v>
      </c>
      <c r="H766" s="7" t="str">
        <f>IF(A766=A765,"",_xlfn.TEXTJOIN(", ", TRUE, C766:INDEX(C:C, ROW(C766)+SheetTable02[[#This Row],[Column1]]-1)))</f>
        <v/>
      </c>
    </row>
    <row r="767" spans="1:8" ht="43.2">
      <c r="A767" s="1" t="s">
        <v>405</v>
      </c>
      <c r="B767" s="1" t="s">
        <v>407</v>
      </c>
      <c r="C767" s="1" t="s">
        <v>417</v>
      </c>
      <c r="D767" s="1"/>
      <c r="E767" s="1"/>
      <c r="F767" s="1"/>
      <c r="G767" s="7">
        <f>COUNTIF(SheetTable02[Focal Document
Element],A767)</f>
        <v>2</v>
      </c>
      <c r="H767" s="7" t="str">
        <f>IF(A767=A766,"",_xlfn.TEXTJOIN(", ", TRUE, C767:INDEX(C:C, ROW(C767)+SheetTable02[[#This Row],[Column1]]-1)))</f>
        <v>CP-02, IR-04</v>
      </c>
    </row>
    <row r="768" spans="1:8" ht="43.2">
      <c r="A768" s="1" t="s">
        <v>405</v>
      </c>
      <c r="B768" s="1" t="s">
        <v>407</v>
      </c>
      <c r="C768" s="1" t="s">
        <v>416</v>
      </c>
      <c r="D768" s="1"/>
      <c r="E768" s="1"/>
      <c r="F768" s="1"/>
      <c r="G768" s="7">
        <f>COUNTIF(SheetTable02[Focal Document
Element],A768)</f>
        <v>2</v>
      </c>
      <c r="H768" s="7" t="str">
        <f>IF(A768=A767,"",_xlfn.TEXTJOIN(", ", TRUE, C768:INDEX(C:C, ROW(C768)+SheetTable02[[#This Row],[Column1]]-1)))</f>
        <v/>
      </c>
    </row>
  </sheetData>
  <phoneticPr fontId="9" type="noConversion"/>
  <dataValidations count="1">
    <dataValidation type="list" allowBlank="1" sqref="F692:F768 F3:F47 F49:F347 F362:F690" xr:uid="{26EDA353-72C4-4AFC-8A17-593178EBCBA2}">
      <formula1>"0,1,2,3,4,5,6,7,8,9,10"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NIST CSF 2.0</vt:lpstr>
      <vt:lpstr>NIST CSF 2.0-&gt;NIST SP 800-53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Gokin</dc:creator>
  <cp:lastModifiedBy>Ivan Gokin</cp:lastModifiedBy>
  <dcterms:created xsi:type="dcterms:W3CDTF">2025-04-18T18:25:00Z</dcterms:created>
  <dcterms:modified xsi:type="dcterms:W3CDTF">2026-06-09T08:40:49Z</dcterms:modified>
</cp:coreProperties>
</file>